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heckout" sheetId="1" state="visible" r:id="rId1"/>
    <sheet xmlns:r="http://schemas.openxmlformats.org/officeDocument/2006/relationships" name="Payment Breakdown" sheetId="2" state="visible" r:id="rId2"/>
    <sheet xmlns:r="http://schemas.openxmlformats.org/officeDocument/2006/relationships" name="Uniforms" sheetId="3" state="visible" r:id="rId3"/>
    <sheet xmlns:r="http://schemas.openxmlformats.org/officeDocument/2006/relationships" name="Fee Referenc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₱#,##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11111"/>
      <sz val="15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0F0F2"/>
      <sz val="10"/>
    </font>
    <font>
      <name val="Arial"/>
      <charset val="1"/>
      <family val="0"/>
      <sz val="10"/>
    </font>
    <font>
      <name val="Arial"/>
      <charset val="1"/>
      <family val="0"/>
      <color rgb="FF999999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B8860B"/>
      <sz val="10"/>
    </font>
  </fonts>
  <fills count="3">
    <fill>
      <patternFill/>
    </fill>
    <fill>
      <patternFill patternType="gray125"/>
    </fill>
    <fill>
      <patternFill patternType="solid">
        <fgColor rgb="FF1B1B20"/>
        <bgColor rgb="FF11111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general" vertical="center"/>
    </xf>
    <xf numFmtId="0" fontId="9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general" vertical="center"/>
    </xf>
    <xf numFmtId="164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general" vertical="center"/>
    </xf>
    <xf numFmtId="0" fontId="9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0F0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111111"/>
      <rgbColor rgb="FF333300"/>
      <rgbColor rgb="FF993300"/>
      <rgbColor rgb="FF993366"/>
      <rgbColor rgb="FF333399"/>
      <rgbColor rgb="FF1B1B2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9" min="1" max="1"/>
    <col width="26" customWidth="1" style="19" min="2" max="2"/>
    <col width="24" customWidth="1" style="19" min="3" max="3"/>
    <col width="12" customWidth="1" style="19" min="4" max="4"/>
    <col width="8" customWidth="1" style="19" min="5" max="5"/>
    <col width="14" customWidth="1" style="19" min="6" max="6"/>
    <col width="12" customWidth="1" style="19" min="7" max="9"/>
    <col width="11" customWidth="1" style="19" min="10" max="10"/>
    <col width="10" customWidth="1" style="19" min="11" max="11"/>
    <col width="30" customWidth="1" style="19" min="12" max="12"/>
    <col width="11" customWidth="1" style="19" min="13" max="13"/>
    <col width="15" customWidth="1" style="19" min="14" max="14"/>
    <col width="8" customWidth="1" style="19" min="15" max="15"/>
    <col width="40" customWidth="1" style="19" min="16" max="16"/>
  </cols>
  <sheetData>
    <row r="1" ht="18.55" customHeight="1" s="20">
      <c r="A1" s="21" t="inlineStr">
        <is>
          <t>F.A.E. BATCH 23 — TOURNAMENT CHECKOUT</t>
        </is>
      </c>
    </row>
    <row r="2" ht="15" customHeight="1" s="20">
      <c r="A2" s="22" t="inlineStr">
        <is>
          <t>As of 2026-09-11  ·  Tick 'Checked-In' on arrival and 'Uniform Released' when handed over</t>
        </is>
      </c>
    </row>
    <row r="4" ht="15" customHeight="1" s="20">
      <c r="A4" s="23" t="inlineStr">
        <is>
          <t>#</t>
        </is>
      </c>
      <c r="B4" s="23" t="inlineStr">
        <is>
          <t>Player</t>
        </is>
      </c>
      <c r="C4" s="23" t="inlineStr">
        <is>
          <t>Guardian</t>
        </is>
      </c>
      <c r="D4" s="23" t="inlineStr">
        <is>
          <t>Category</t>
        </is>
      </c>
      <c r="E4" s="23" t="inlineStr">
        <is>
          <t>Jersey #</t>
        </is>
      </c>
      <c r="F4" s="23" t="inlineStr">
        <is>
          <t>Jersey Name</t>
        </is>
      </c>
      <c r="G4" s="23" t="inlineStr">
        <is>
          <t>Total Due</t>
        </is>
      </c>
      <c r="H4" s="23" t="inlineStr">
        <is>
          <t>Total Paid</t>
        </is>
      </c>
      <c r="I4" s="23" t="inlineStr">
        <is>
          <t>Balance</t>
        </is>
      </c>
      <c r="J4" s="23" t="inlineStr">
        <is>
          <t>Status</t>
        </is>
      </c>
      <c r="K4" s="23" t="inlineStr">
        <is>
          <t>Tourn. Fee</t>
        </is>
      </c>
      <c r="L4" s="23" t="inlineStr">
        <is>
          <t>Uniform Size</t>
        </is>
      </c>
      <c r="M4" s="23" t="inlineStr">
        <is>
          <t>Checked-In</t>
        </is>
      </c>
      <c r="N4" s="23" t="inlineStr">
        <is>
          <t>Uniform Released</t>
        </is>
      </c>
      <c r="O4" s="23" t="inlineStr">
        <is>
          <t>Playing</t>
        </is>
      </c>
      <c r="P4" s="23" t="inlineStr">
        <is>
          <t>Notes</t>
        </is>
      </c>
    </row>
    <row r="5" ht="15" customHeight="1" s="20">
      <c r="A5" s="24" t="n">
        <v>1</v>
      </c>
      <c r="B5" s="25" t="inlineStr">
        <is>
          <t>Alfonz Miguel Pamilar</t>
        </is>
      </c>
      <c r="C5" s="26" t="n"/>
      <c r="D5" s="24" t="inlineStr">
        <is>
          <t>Re-enrolled</t>
        </is>
      </c>
      <c r="E5" s="24" t="n"/>
      <c r="F5" s="25" t="n"/>
      <c r="G5" s="27" t="n">
        <v>8000</v>
      </c>
      <c r="H5" s="27" t="n">
        <v>8000</v>
      </c>
      <c r="I5" s="27">
        <f>MAX(G5-H5,0)</f>
        <v/>
      </c>
      <c r="J5" s="24">
        <f>IF(I5&lt;=0,"Fully Paid","Balance")</f>
        <v/>
      </c>
      <c r="K5" s="24" t="inlineStr">
        <is>
          <t>Paid</t>
        </is>
      </c>
      <c r="L5" s="26" t="inlineStr">
        <is>
          <t>No size on file</t>
        </is>
      </c>
      <c r="M5" s="24" t="n"/>
      <c r="N5" s="24" t="n"/>
      <c r="O5" s="24" t="inlineStr">
        <is>
          <t>YES</t>
        </is>
      </c>
      <c r="P5" s="26" t="n"/>
    </row>
    <row r="6" ht="23.85" customHeight="1" s="20">
      <c r="A6" s="24" t="n">
        <v>2</v>
      </c>
      <c r="B6" s="25" t="inlineStr">
        <is>
          <t>Victor Andrew S. Abriza</t>
        </is>
      </c>
      <c r="C6" s="26" t="n"/>
      <c r="D6" s="24" t="inlineStr">
        <is>
          <t>Re-enrolled</t>
        </is>
      </c>
      <c r="E6" s="24" t="n"/>
      <c r="F6" s="25" t="n"/>
      <c r="G6" s="27" t="n">
        <v>8000</v>
      </c>
      <c r="H6" s="27" t="n">
        <v>5500</v>
      </c>
      <c r="I6" s="27">
        <f>MAX(G6-H6,0)</f>
        <v/>
      </c>
      <c r="J6" s="24">
        <f>IF(I6&lt;=0,"Fully Paid","Balance")</f>
        <v/>
      </c>
      <c r="K6" s="24" t="inlineStr">
        <is>
          <t>Unpaid</t>
        </is>
      </c>
      <c r="L6" s="26" t="inlineStr">
        <is>
          <t>No size on file</t>
        </is>
      </c>
      <c r="M6" s="24" t="n"/>
      <c r="N6" s="24" t="n"/>
      <c r="O6" s="24" t="inlineStr">
        <is>
          <t>YES</t>
        </is>
      </c>
      <c r="P6" s="26" t="inlineStr">
        <is>
          <t>₱5,500 recorded (training). ₱2,500 tournament fee outstanding.</t>
        </is>
      </c>
    </row>
    <row r="7" ht="23.85" customHeight="1" s="20">
      <c r="A7" s="24" t="n">
        <v>3</v>
      </c>
      <c r="B7" s="25" t="inlineStr">
        <is>
          <t>Gavin Rojan E. Salva</t>
        </is>
      </c>
      <c r="C7" s="26" t="n"/>
      <c r="D7" s="24" t="inlineStr">
        <is>
          <t>Re-enrolled</t>
        </is>
      </c>
      <c r="E7" s="24" t="n"/>
      <c r="F7" s="25" t="n"/>
      <c r="G7" s="27" t="n">
        <v>8000</v>
      </c>
      <c r="H7" s="27" t="n">
        <v>5500</v>
      </c>
      <c r="I7" s="27">
        <f>MAX(G7-H7,0)</f>
        <v/>
      </c>
      <c r="J7" s="24">
        <f>IF(I7&lt;=0,"Fully Paid","Balance")</f>
        <v/>
      </c>
      <c r="K7" s="24" t="inlineStr">
        <is>
          <t>Unpaid</t>
        </is>
      </c>
      <c r="L7" s="26" t="inlineStr">
        <is>
          <t>No size on file</t>
        </is>
      </c>
      <c r="M7" s="24" t="n"/>
      <c r="N7" s="24" t="n"/>
      <c r="O7" s="24" t="inlineStr">
        <is>
          <t>YES</t>
        </is>
      </c>
      <c r="P7" s="26" t="inlineStr">
        <is>
          <t>Recorded ₱3,000 + ₱2,500 = ₱5,500. ₱2,500 tournament fee outstanding.</t>
        </is>
      </c>
    </row>
    <row r="8" ht="15" customHeight="1" s="20">
      <c r="A8" s="24" t="n">
        <v>4</v>
      </c>
      <c r="B8" s="25" t="inlineStr">
        <is>
          <t>Chael Juadines</t>
        </is>
      </c>
      <c r="C8" s="26" t="inlineStr">
        <is>
          <t>Nicole Morada Martija</t>
        </is>
      </c>
      <c r="D8" s="24" t="inlineStr">
        <is>
          <t>New</t>
        </is>
      </c>
      <c r="E8" s="24" t="inlineStr">
        <is>
          <t>#30</t>
        </is>
      </c>
      <c r="F8" s="25" t="inlineStr">
        <is>
          <t>Juadines</t>
        </is>
      </c>
      <c r="G8" s="27" t="n">
        <v>10600</v>
      </c>
      <c r="H8" s="27" t="n">
        <v>4050</v>
      </c>
      <c r="I8" s="27">
        <f>MAX(G8-H8,0)</f>
        <v/>
      </c>
      <c r="J8" s="24">
        <f>IF(I8&lt;=0,"Fully Paid","Balance")</f>
        <v/>
      </c>
      <c r="K8" s="24" t="inlineStr">
        <is>
          <t>Unpaid</t>
        </is>
      </c>
      <c r="L8" s="26" t="inlineStr">
        <is>
          <t>Top 9-10, Short 9-10</t>
        </is>
      </c>
      <c r="M8" s="24" t="n"/>
      <c r="N8" s="24" t="n"/>
      <c r="O8" s="24" t="inlineStr">
        <is>
          <t>YES</t>
        </is>
      </c>
      <c r="P8" s="26" t="inlineStr">
        <is>
          <t>FB. ₱4,050 recorded.</t>
        </is>
      </c>
    </row>
    <row r="9" ht="15" customHeight="1" s="20">
      <c r="A9" s="24" t="n">
        <v>5</v>
      </c>
      <c r="B9" s="25" t="inlineStr">
        <is>
          <t>Yohan Ezekiel A. Belen</t>
        </is>
      </c>
      <c r="C9" s="26" t="n"/>
      <c r="D9" s="24" t="inlineStr">
        <is>
          <t>Re-enrolled</t>
        </is>
      </c>
      <c r="E9" s="24" t="n"/>
      <c r="F9" s="25" t="n"/>
      <c r="G9" s="27" t="n">
        <v>8000</v>
      </c>
      <c r="H9" s="27" t="n">
        <v>8000</v>
      </c>
      <c r="I9" s="27">
        <f>MAX(G9-H9,0)</f>
        <v/>
      </c>
      <c r="J9" s="24">
        <f>IF(I9&lt;=0,"Fully Paid","Balance")</f>
        <v/>
      </c>
      <c r="K9" s="24" t="inlineStr">
        <is>
          <t>Paid</t>
        </is>
      </c>
      <c r="L9" s="26" t="inlineStr">
        <is>
          <t>No size on file</t>
        </is>
      </c>
      <c r="M9" s="24" t="n"/>
      <c r="N9" s="24" t="n"/>
      <c r="O9" s="24" t="inlineStr">
        <is>
          <t>YES</t>
        </is>
      </c>
      <c r="P9" s="26" t="n"/>
    </row>
    <row r="10" ht="15" customHeight="1" s="20">
      <c r="A10" s="24" t="n">
        <v>6</v>
      </c>
      <c r="B10" s="25" t="inlineStr">
        <is>
          <t>Francis Yves C. Suavengco</t>
        </is>
      </c>
      <c r="C10" s="26" t="inlineStr">
        <is>
          <t>Marvin Suavengco</t>
        </is>
      </c>
      <c r="D10" s="24" t="inlineStr">
        <is>
          <t>New</t>
        </is>
      </c>
      <c r="E10" s="24" t="inlineStr">
        <is>
          <t>#05</t>
        </is>
      </c>
      <c r="F10" s="25" t="inlineStr">
        <is>
          <t>Suavengco</t>
        </is>
      </c>
      <c r="G10" s="27" t="n">
        <v>10600</v>
      </c>
      <c r="H10" s="27" t="n">
        <v>5100</v>
      </c>
      <c r="I10" s="27">
        <f>MAX(G10-H10,0)</f>
        <v/>
      </c>
      <c r="J10" s="24">
        <f>IF(I10&lt;=0,"Fully Paid","Balance")</f>
        <v/>
      </c>
      <c r="K10" s="24" t="inlineStr">
        <is>
          <t>Unpaid</t>
        </is>
      </c>
      <c r="L10" s="26" t="inlineStr">
        <is>
          <t>Age 9-10, Top 37-26, Short 36-15</t>
        </is>
      </c>
      <c r="M10" s="24" t="n"/>
      <c r="N10" s="24" t="n"/>
      <c r="O10" s="24" t="inlineStr">
        <is>
          <t>YES</t>
        </is>
      </c>
      <c r="P10" s="26" t="inlineStr">
        <is>
          <t>FB. Recorded ₱5,000/₱5,100.</t>
        </is>
      </c>
    </row>
    <row r="11" ht="35.05" customHeight="1" s="20">
      <c r="A11" s="24" t="n">
        <v>7</v>
      </c>
      <c r="B11" s="25" t="inlineStr">
        <is>
          <t>Lucas Adam De Chavez</t>
        </is>
      </c>
      <c r="C11" s="26" t="inlineStr">
        <is>
          <t>Babie DC Valencia</t>
        </is>
      </c>
      <c r="D11" s="24" t="inlineStr">
        <is>
          <t>New</t>
        </is>
      </c>
      <c r="E11" s="24" t="inlineStr">
        <is>
          <t>#27</t>
        </is>
      </c>
      <c r="F11" s="25" t="inlineStr">
        <is>
          <t>Lucas</t>
        </is>
      </c>
      <c r="G11" s="27" t="n">
        <v>10600</v>
      </c>
      <c r="H11" s="27" t="n">
        <v>4050</v>
      </c>
      <c r="I11" s="27">
        <f>MAX(G11-H11,0)</f>
        <v/>
      </c>
      <c r="J11" s="24">
        <f>IF(I11&lt;=0,"Fully Paid","Balance")</f>
        <v/>
      </c>
      <c r="K11" s="24" t="inlineStr">
        <is>
          <t>Unpaid</t>
        </is>
      </c>
      <c r="L11" s="26" t="inlineStr">
        <is>
          <t>Top 9-10, Length 26, Short hips 35 / length 18</t>
        </is>
      </c>
      <c r="M11" s="24" t="n"/>
      <c r="N11" s="24" t="n"/>
      <c r="O11" s="24" t="inlineStr">
        <is>
          <t>YES</t>
        </is>
      </c>
      <c r="P11" s="26" t="inlineStr">
        <is>
          <t>CONFIRM: uniform "Lucas #27" (parent Babie DC Valencia) matched to this player — verify name.</t>
        </is>
      </c>
    </row>
    <row r="12" ht="15" customHeight="1" s="20">
      <c r="A12" s="24" t="n">
        <v>8</v>
      </c>
      <c r="B12" s="25" t="inlineStr">
        <is>
          <t>Ram Raynard M. Balanay</t>
        </is>
      </c>
      <c r="C12" s="26" t="inlineStr">
        <is>
          <t>Jennie Medina Balanay</t>
        </is>
      </c>
      <c r="D12" s="24" t="inlineStr">
        <is>
          <t>New</t>
        </is>
      </c>
      <c r="E12" s="24" t="inlineStr">
        <is>
          <t>#14</t>
        </is>
      </c>
      <c r="F12" s="25" t="inlineStr">
        <is>
          <t>Balanay</t>
        </is>
      </c>
      <c r="G12" s="27" t="n">
        <v>10600</v>
      </c>
      <c r="H12" s="27" t="n">
        <v>4050</v>
      </c>
      <c r="I12" s="27">
        <f>MAX(G12-H12,0)</f>
        <v/>
      </c>
      <c r="J12" s="24">
        <f>IF(I12&lt;=0,"Fully Paid","Balance")</f>
        <v/>
      </c>
      <c r="K12" s="24" t="inlineStr">
        <is>
          <t>Unpaid</t>
        </is>
      </c>
      <c r="L12" s="26" t="inlineStr">
        <is>
          <t>Top 9-10, Short 9-10</t>
        </is>
      </c>
      <c r="M12" s="24" t="n"/>
      <c r="N12" s="24" t="n"/>
      <c r="O12" s="24" t="inlineStr">
        <is>
          <t>YES</t>
        </is>
      </c>
      <c r="P12" s="26" t="inlineStr">
        <is>
          <t>₱4,050 recorded (incl. ₱1,000 uniform).</t>
        </is>
      </c>
    </row>
    <row r="13" ht="15" customHeight="1" s="20">
      <c r="A13" s="24" t="n">
        <v>9</v>
      </c>
      <c r="B13" s="25" t="inlineStr">
        <is>
          <t>Zeff Elison R. Samson</t>
        </is>
      </c>
      <c r="C13" s="26" t="n"/>
      <c r="D13" s="24" t="inlineStr">
        <is>
          <t>Re-enrolled</t>
        </is>
      </c>
      <c r="E13" s="24" t="n"/>
      <c r="F13" s="25" t="n"/>
      <c r="G13" s="27" t="n">
        <v>8000</v>
      </c>
      <c r="H13" s="27" t="n">
        <v>8000</v>
      </c>
      <c r="I13" s="27">
        <f>MAX(G13-H13,0)</f>
        <v/>
      </c>
      <c r="J13" s="24">
        <f>IF(I13&lt;=0,"Fully Paid","Balance")</f>
        <v/>
      </c>
      <c r="K13" s="24" t="inlineStr">
        <is>
          <t>Paid</t>
        </is>
      </c>
      <c r="L13" s="26" t="inlineStr">
        <is>
          <t>No size on file</t>
        </is>
      </c>
      <c r="M13" s="24" t="n"/>
      <c r="N13" s="24" t="n"/>
      <c r="O13" s="24" t="inlineStr">
        <is>
          <t>YES</t>
        </is>
      </c>
      <c r="P13" s="26" t="inlineStr">
        <is>
          <t>Recorded ₱5,500 + ₱2,500.</t>
        </is>
      </c>
    </row>
    <row r="14" ht="15" customHeight="1" s="20">
      <c r="A14" s="24" t="n">
        <v>10</v>
      </c>
      <c r="B14" s="25" t="inlineStr">
        <is>
          <t>Maizon Africa</t>
        </is>
      </c>
      <c r="C14" s="26" t="inlineStr">
        <is>
          <t>Analiza Garcia Africa</t>
        </is>
      </c>
      <c r="D14" s="24" t="inlineStr">
        <is>
          <t>New</t>
        </is>
      </c>
      <c r="E14" s="24" t="inlineStr">
        <is>
          <t>#15</t>
        </is>
      </c>
      <c r="F14" s="25" t="inlineStr">
        <is>
          <t>Africa</t>
        </is>
      </c>
      <c r="G14" s="27" t="n">
        <v>10600</v>
      </c>
      <c r="H14" s="27" t="n">
        <v>10600</v>
      </c>
      <c r="I14" s="27">
        <f>MAX(G14-H14,0)</f>
        <v/>
      </c>
      <c r="J14" s="24">
        <f>IF(I14&lt;=0,"Fully Paid","Balance")</f>
        <v/>
      </c>
      <c r="K14" s="24" t="inlineStr">
        <is>
          <t>Paid</t>
        </is>
      </c>
      <c r="L14" s="26" t="inlineStr">
        <is>
          <t>Top 7-8, Short 7-8</t>
        </is>
      </c>
      <c r="M14" s="24" t="n"/>
      <c r="N14" s="24" t="n"/>
      <c r="O14" s="24" t="inlineStr">
        <is>
          <t>YES</t>
        </is>
      </c>
      <c r="P14" s="26" t="n"/>
    </row>
    <row r="15" ht="15" customHeight="1" s="20">
      <c r="A15" s="24" t="n">
        <v>11</v>
      </c>
      <c r="B15" s="25" t="inlineStr">
        <is>
          <t>Primo Diaz</t>
        </is>
      </c>
      <c r="C15" s="26" t="inlineStr">
        <is>
          <t>Jonas Diaz</t>
        </is>
      </c>
      <c r="D15" s="24" t="inlineStr">
        <is>
          <t>New</t>
        </is>
      </c>
      <c r="E15" s="24" t="inlineStr">
        <is>
          <t>#10</t>
        </is>
      </c>
      <c r="F15" s="25" t="inlineStr">
        <is>
          <t>Primo</t>
        </is>
      </c>
      <c r="G15" s="27" t="n">
        <v>10600</v>
      </c>
      <c r="H15" s="27" t="n">
        <v>4050</v>
      </c>
      <c r="I15" s="27">
        <f>MAX(G15-H15,0)</f>
        <v/>
      </c>
      <c r="J15" s="24">
        <f>IF(I15&lt;=0,"Fully Paid","Balance")</f>
        <v/>
      </c>
      <c r="K15" s="24" t="inlineStr">
        <is>
          <t>Unpaid</t>
        </is>
      </c>
      <c r="L15" s="26" t="inlineStr">
        <is>
          <t>Top 9-10, Short 35-18</t>
        </is>
      </c>
      <c r="M15" s="24" t="n"/>
      <c r="N15" s="24" t="n"/>
      <c r="O15" s="24" t="inlineStr">
        <is>
          <t>YES</t>
        </is>
      </c>
      <c r="P15" s="26" t="inlineStr">
        <is>
          <t>FB. ₱4,050 recorded (incl. ₱1,000 uniform).</t>
        </is>
      </c>
    </row>
    <row r="16" ht="15" customHeight="1" s="20">
      <c r="A16" s="24" t="n">
        <v>12</v>
      </c>
      <c r="B16" s="25" t="inlineStr">
        <is>
          <t>Marcus Riley Magpantay</t>
        </is>
      </c>
      <c r="C16" s="26" t="n"/>
      <c r="D16" s="24" t="inlineStr">
        <is>
          <t>Re-enrolled</t>
        </is>
      </c>
      <c r="E16" s="24" t="n"/>
      <c r="F16" s="25" t="n"/>
      <c r="G16" s="27" t="n">
        <v>8000</v>
      </c>
      <c r="H16" s="27" t="n">
        <v>8000</v>
      </c>
      <c r="I16" s="27">
        <f>MAX(G16-H16,0)</f>
        <v/>
      </c>
      <c r="J16" s="24">
        <f>IF(I16&lt;=0,"Fully Paid","Balance")</f>
        <v/>
      </c>
      <c r="K16" s="24" t="inlineStr">
        <is>
          <t>Paid</t>
        </is>
      </c>
      <c r="L16" s="26" t="inlineStr">
        <is>
          <t>No size on file</t>
        </is>
      </c>
      <c r="M16" s="24" t="n"/>
      <c r="N16" s="24" t="n"/>
      <c r="O16" s="24" t="inlineStr">
        <is>
          <t>YES</t>
        </is>
      </c>
      <c r="P16" s="26" t="n"/>
    </row>
    <row r="17" ht="15" customHeight="1" s="20">
      <c r="A17" s="24" t="n">
        <v>13</v>
      </c>
      <c r="B17" s="25" t="inlineStr">
        <is>
          <t>Carl Miguel Prillo</t>
        </is>
      </c>
      <c r="C17" s="26" t="n"/>
      <c r="D17" s="24" t="inlineStr">
        <is>
          <t>Scholar</t>
        </is>
      </c>
      <c r="E17" s="24" t="n"/>
      <c r="F17" s="25" t="n"/>
      <c r="G17" s="27" t="n">
        <v>2500</v>
      </c>
      <c r="H17" s="27" t="n">
        <v>0</v>
      </c>
      <c r="I17" s="27">
        <f>MAX(G17-H17,0)</f>
        <v/>
      </c>
      <c r="J17" s="24">
        <f>IF(I17&lt;=0,"Fully Paid","Balance")</f>
        <v/>
      </c>
      <c r="K17" s="24" t="inlineStr">
        <is>
          <t>Unpaid</t>
        </is>
      </c>
      <c r="L17" s="26" t="inlineStr">
        <is>
          <t>No size on file</t>
        </is>
      </c>
      <c r="M17" s="24" t="n"/>
      <c r="N17" s="24" t="n"/>
      <c r="O17" s="24" t="inlineStr">
        <is>
          <t>YES</t>
        </is>
      </c>
      <c r="P17" s="26" t="n"/>
    </row>
    <row r="18" ht="15" customHeight="1" s="20">
      <c r="A18" s="24" t="n">
        <v>14</v>
      </c>
      <c r="B18" s="25" t="inlineStr">
        <is>
          <t>Jaime David S. Abriza</t>
        </is>
      </c>
      <c r="C18" s="26" t="n"/>
      <c r="D18" s="24" t="inlineStr">
        <is>
          <t>Scholar</t>
        </is>
      </c>
      <c r="E18" s="24" t="n"/>
      <c r="F18" s="25" t="n"/>
      <c r="G18" s="27" t="n">
        <v>2500</v>
      </c>
      <c r="H18" s="27" t="n">
        <v>0</v>
      </c>
      <c r="I18" s="27">
        <f>MAX(G18-H18,0)</f>
        <v/>
      </c>
      <c r="J18" s="24">
        <f>IF(I18&lt;=0,"Fully Paid","Balance")</f>
        <v/>
      </c>
      <c r="K18" s="24" t="inlineStr">
        <is>
          <t>Unpaid</t>
        </is>
      </c>
      <c r="L18" s="26" t="inlineStr">
        <is>
          <t>No size on file</t>
        </is>
      </c>
      <c r="M18" s="24" t="n"/>
      <c r="N18" s="24" t="n"/>
      <c r="O18" s="24" t="inlineStr">
        <is>
          <t>YES</t>
        </is>
      </c>
      <c r="P18" s="26" t="n"/>
    </row>
    <row r="19" ht="15" customHeight="1" s="20">
      <c r="A19" s="24" t="n">
        <v>15</v>
      </c>
      <c r="B19" s="25" t="inlineStr">
        <is>
          <t>Rafael Jose Magundayao</t>
        </is>
      </c>
      <c r="C19" s="26" t="n"/>
      <c r="D19" s="24" t="inlineStr">
        <is>
          <t>Re-enrolled</t>
        </is>
      </c>
      <c r="E19" s="24" t="n"/>
      <c r="F19" s="25" t="n"/>
      <c r="G19" s="27" t="n">
        <v>8000</v>
      </c>
      <c r="H19" s="27" t="n">
        <v>0</v>
      </c>
      <c r="I19" s="27">
        <f>MAX(G19-H19,0)</f>
        <v/>
      </c>
      <c r="J19" s="24">
        <f>IF(I19&lt;=0,"Fully Paid","Balance")</f>
        <v/>
      </c>
      <c r="K19" s="24" t="inlineStr">
        <is>
          <t>Unpaid</t>
        </is>
      </c>
      <c r="L19" s="26" t="inlineStr">
        <is>
          <t>No size on file</t>
        </is>
      </c>
      <c r="M19" s="24" t="n"/>
      <c r="N19" s="24" t="n"/>
      <c r="O19" s="24" t="inlineStr">
        <is>
          <t>YES</t>
        </is>
      </c>
      <c r="P19" s="26" t="n"/>
    </row>
    <row r="20" ht="15" customHeight="1" s="20">
      <c r="A20" s="24" t="n">
        <v>16</v>
      </c>
      <c r="B20" s="25" t="inlineStr">
        <is>
          <t>Filbert Khian Gapud</t>
        </is>
      </c>
      <c r="C20" s="26" t="n"/>
      <c r="D20" s="24" t="inlineStr">
        <is>
          <t>Re-enrolled</t>
        </is>
      </c>
      <c r="E20" s="24" t="n"/>
      <c r="F20" s="25" t="n"/>
      <c r="G20" s="27" t="n">
        <v>8000</v>
      </c>
      <c r="H20" s="27" t="n">
        <v>0</v>
      </c>
      <c r="I20" s="27">
        <f>MAX(G20-H20,0)</f>
        <v/>
      </c>
      <c r="J20" s="24">
        <f>IF(I20&lt;=0,"Fully Paid","Balance")</f>
        <v/>
      </c>
      <c r="K20" s="24" t="inlineStr">
        <is>
          <t>Unpaid</t>
        </is>
      </c>
      <c r="L20" s="26" t="inlineStr">
        <is>
          <t>No size on file</t>
        </is>
      </c>
      <c r="M20" s="24" t="n"/>
      <c r="N20" s="24" t="n"/>
      <c r="O20" s="24" t="inlineStr">
        <is>
          <t>YES</t>
        </is>
      </c>
      <c r="P20" s="26" t="n"/>
    </row>
    <row r="21" ht="23.85" customHeight="1" s="20">
      <c r="A21" s="24" t="n">
        <v>17</v>
      </c>
      <c r="B21" s="25" t="inlineStr">
        <is>
          <t>Ezekiel Aiden Sison</t>
        </is>
      </c>
      <c r="C21" s="26" t="n"/>
      <c r="D21" s="24" t="inlineStr">
        <is>
          <t>Re-enrolled</t>
        </is>
      </c>
      <c r="E21" s="24" t="n"/>
      <c r="F21" s="25" t="n"/>
      <c r="G21" s="27" t="n">
        <v>8000</v>
      </c>
      <c r="H21" s="27" t="n">
        <v>5500</v>
      </c>
      <c r="I21" s="27">
        <f>MAX(G21-H21,0)</f>
        <v/>
      </c>
      <c r="J21" s="24">
        <f>IF(I21&lt;=0,"Fully Paid","Balance")</f>
        <v/>
      </c>
      <c r="K21" s="24" t="inlineStr">
        <is>
          <t>Unpaid</t>
        </is>
      </c>
      <c r="L21" s="26" t="inlineStr">
        <is>
          <t>No size on file</t>
        </is>
      </c>
      <c r="M21" s="24" t="n"/>
      <c r="N21" s="24" t="n"/>
      <c r="O21" s="24" t="inlineStr">
        <is>
          <t>YES</t>
        </is>
      </c>
      <c r="P21" s="26" t="inlineStr">
        <is>
          <t>₱5,500 recorded (training). ₱2,500 tournament fee outstanding.</t>
        </is>
      </c>
    </row>
    <row r="22" ht="15" customHeight="1" s="20">
      <c r="A22" s="24" t="n">
        <v>18</v>
      </c>
      <c r="B22" s="25" t="inlineStr">
        <is>
          <t>Hans Linatoc</t>
        </is>
      </c>
      <c r="C22" s="26" t="n"/>
      <c r="D22" s="24" t="inlineStr">
        <is>
          <t>Re-enrolled</t>
        </is>
      </c>
      <c r="E22" s="24" t="n"/>
      <c r="F22" s="25" t="n"/>
      <c r="G22" s="27" t="n">
        <v>8000</v>
      </c>
      <c r="H22" s="27" t="n">
        <v>8000</v>
      </c>
      <c r="I22" s="27">
        <f>MAX(G22-H22,0)</f>
        <v/>
      </c>
      <c r="J22" s="24">
        <f>IF(I22&lt;=0,"Fully Paid","Balance")</f>
        <v/>
      </c>
      <c r="K22" s="24" t="inlineStr">
        <is>
          <t>Paid</t>
        </is>
      </c>
      <c r="L22" s="26" t="inlineStr">
        <is>
          <t>No size on file</t>
        </is>
      </c>
      <c r="M22" s="24" t="n"/>
      <c r="N22" s="24" t="n"/>
      <c r="O22" s="24" t="inlineStr">
        <is>
          <t>YES</t>
        </is>
      </c>
      <c r="P22" s="26" t="inlineStr">
        <is>
          <t>Recorded ₱4,000 + ₱4,000.</t>
        </is>
      </c>
    </row>
    <row r="23" ht="15" customHeight="1" s="20">
      <c r="A23" s="24" t="n">
        <v>19</v>
      </c>
      <c r="B23" s="25" t="inlineStr">
        <is>
          <t>Liam Lonzo Lipana</t>
        </is>
      </c>
      <c r="C23" s="26" t="n"/>
      <c r="D23" s="24" t="inlineStr">
        <is>
          <t>Scholar</t>
        </is>
      </c>
      <c r="E23" s="24" t="n"/>
      <c r="F23" s="25" t="n"/>
      <c r="G23" s="27" t="n">
        <v>2500</v>
      </c>
      <c r="H23" s="27" t="n">
        <v>0</v>
      </c>
      <c r="I23" s="27">
        <f>MAX(G23-H23,0)</f>
        <v/>
      </c>
      <c r="J23" s="24">
        <f>IF(I23&lt;=0,"Fully Paid","Balance")</f>
        <v/>
      </c>
      <c r="K23" s="24" t="inlineStr">
        <is>
          <t>Unpaid</t>
        </is>
      </c>
      <c r="L23" s="26" t="inlineStr">
        <is>
          <t>No size on file</t>
        </is>
      </c>
      <c r="M23" s="24" t="n"/>
      <c r="N23" s="24" t="n"/>
      <c r="O23" s="24" t="inlineStr">
        <is>
          <t>YES</t>
        </is>
      </c>
      <c r="P23" s="26" t="n"/>
    </row>
    <row r="24" ht="15" customHeight="1" s="20">
      <c r="A24" s="24" t="n">
        <v>20</v>
      </c>
      <c r="B24" s="25" t="inlineStr">
        <is>
          <t>Austin Trey U. Rezaba</t>
        </is>
      </c>
      <c r="C24" s="26" t="inlineStr">
        <is>
          <t>Rustan Rezaba</t>
        </is>
      </c>
      <c r="D24" s="24" t="inlineStr">
        <is>
          <t>New</t>
        </is>
      </c>
      <c r="E24" s="24" t="inlineStr">
        <is>
          <t>#25</t>
        </is>
      </c>
      <c r="F24" s="25" t="inlineStr">
        <is>
          <t>Rezaba</t>
        </is>
      </c>
      <c r="G24" s="27" t="n">
        <v>10600</v>
      </c>
      <c r="H24" s="27" t="n">
        <v>4050</v>
      </c>
      <c r="I24" s="27">
        <f>MAX(G24-H24,0)</f>
        <v/>
      </c>
      <c r="J24" s="24">
        <f>IF(I24&lt;=0,"Fully Paid","Balance")</f>
        <v/>
      </c>
      <c r="K24" s="24" t="inlineStr">
        <is>
          <t>Unpaid</t>
        </is>
      </c>
      <c r="L24" s="26" t="inlineStr">
        <is>
          <t>Top age 11-12, Short age 11-12</t>
        </is>
      </c>
      <c r="M24" s="24" t="n"/>
      <c r="N24" s="24" t="n"/>
      <c r="O24" s="24" t="inlineStr">
        <is>
          <t>YES</t>
        </is>
      </c>
      <c r="P24" s="26" t="inlineStr">
        <is>
          <t>FB. Twin — jersey #25 per your note.</t>
        </is>
      </c>
    </row>
    <row r="25" ht="23.85" customHeight="1" s="20">
      <c r="A25" s="24" t="n">
        <v>21</v>
      </c>
      <c r="B25" s="25" t="inlineStr">
        <is>
          <t>Ampersand Verismo Diasanta</t>
        </is>
      </c>
      <c r="C25" s="26" t="n"/>
      <c r="D25" s="24" t="inlineStr">
        <is>
          <t>Re-enrolled</t>
        </is>
      </c>
      <c r="E25" s="24" t="n"/>
      <c r="F25" s="25" t="n"/>
      <c r="G25" s="27" t="n">
        <v>8000</v>
      </c>
      <c r="H25" s="27" t="n">
        <v>5500</v>
      </c>
      <c r="I25" s="27">
        <f>MAX(G25-H25,0)</f>
        <v/>
      </c>
      <c r="J25" s="24">
        <f>IF(I25&lt;=0,"Fully Paid","Balance")</f>
        <v/>
      </c>
      <c r="K25" s="24" t="inlineStr">
        <is>
          <t>Unpaid</t>
        </is>
      </c>
      <c r="L25" s="26" t="inlineStr">
        <is>
          <t>No size on file</t>
        </is>
      </c>
      <c r="M25" s="24" t="n"/>
      <c r="N25" s="24" t="n"/>
      <c r="O25" s="24" t="inlineStr">
        <is>
          <t>YES</t>
        </is>
      </c>
      <c r="P25" s="26" t="inlineStr">
        <is>
          <t>₱5,500 recorded (training). ₱2,500 tournament fee outstanding.</t>
        </is>
      </c>
    </row>
    <row r="26" ht="23.85" customHeight="1" s="20">
      <c r="A26" s="24" t="n">
        <v>22</v>
      </c>
      <c r="B26" s="25" t="inlineStr">
        <is>
          <t>Ethan Von Zachary de Castro</t>
        </is>
      </c>
      <c r="C26" s="26" t="inlineStr">
        <is>
          <t>Jhon Herbert De Castro</t>
        </is>
      </c>
      <c r="D26" s="24" t="inlineStr">
        <is>
          <t>New</t>
        </is>
      </c>
      <c r="E26" s="24" t="inlineStr">
        <is>
          <t>#30</t>
        </is>
      </c>
      <c r="F26" s="25" t="inlineStr">
        <is>
          <t>Zachary</t>
        </is>
      </c>
      <c r="G26" s="27" t="n">
        <v>10600</v>
      </c>
      <c r="H26" s="27" t="n">
        <v>6500</v>
      </c>
      <c r="I26" s="27">
        <f>MAX(G26-H26,0)</f>
        <v/>
      </c>
      <c r="J26" s="24">
        <f>IF(I26&lt;=0,"Fully Paid","Balance")</f>
        <v/>
      </c>
      <c r="K26" s="24" t="inlineStr">
        <is>
          <t>Unpaid</t>
        </is>
      </c>
      <c r="L26" s="26" t="inlineStr">
        <is>
          <t>Body 30, Length 21, Short hips 32, Short length 14</t>
        </is>
      </c>
      <c r="M26" s="24" t="n"/>
      <c r="N26" s="24" t="n"/>
      <c r="O26" s="24" t="inlineStr">
        <is>
          <t>YES</t>
        </is>
      </c>
      <c r="P26" s="26" t="inlineStr">
        <is>
          <t>FB. ₱6,500 recorded.</t>
        </is>
      </c>
    </row>
    <row r="27" ht="15" customHeight="1" s="20">
      <c r="A27" s="24" t="n">
        <v>23</v>
      </c>
      <c r="B27" s="25" t="inlineStr">
        <is>
          <t>Kieffer Rov Sanchez</t>
        </is>
      </c>
      <c r="C27" s="26" t="n"/>
      <c r="D27" s="24" t="inlineStr">
        <is>
          <t>Scholar</t>
        </is>
      </c>
      <c r="E27" s="24" t="n"/>
      <c r="F27" s="25" t="n"/>
      <c r="G27" s="27" t="n">
        <v>2500</v>
      </c>
      <c r="H27" s="27" t="n">
        <v>2500</v>
      </c>
      <c r="I27" s="27">
        <f>MAX(G27-H27,0)</f>
        <v/>
      </c>
      <c r="J27" s="24">
        <f>IF(I27&lt;=0,"Fully Paid","Balance")</f>
        <v/>
      </c>
      <c r="K27" s="24" t="inlineStr">
        <is>
          <t>Paid</t>
        </is>
      </c>
      <c r="L27" s="26" t="inlineStr">
        <is>
          <t>No size on file</t>
        </is>
      </c>
      <c r="M27" s="24" t="n"/>
      <c r="N27" s="24" t="n"/>
      <c r="O27" s="24" t="inlineStr">
        <is>
          <t>YES</t>
        </is>
      </c>
      <c r="P27" s="26" t="n"/>
    </row>
    <row r="28" ht="15" customHeight="1" s="20">
      <c r="A28" s="24" t="n">
        <v>24</v>
      </c>
      <c r="B28" s="25" t="inlineStr">
        <is>
          <t>Isidro Raymundo III</t>
        </is>
      </c>
      <c r="C28" s="26" t="n"/>
      <c r="D28" s="24" t="inlineStr">
        <is>
          <t>Scholar</t>
        </is>
      </c>
      <c r="E28" s="24" t="n"/>
      <c r="F28" s="25" t="n"/>
      <c r="G28" s="27" t="n">
        <v>2500</v>
      </c>
      <c r="H28" s="27" t="n">
        <v>0</v>
      </c>
      <c r="I28" s="27">
        <f>MAX(G28-H28,0)</f>
        <v/>
      </c>
      <c r="J28" s="24">
        <f>IF(I28&lt;=0,"Fully Paid","Balance")</f>
        <v/>
      </c>
      <c r="K28" s="24" t="inlineStr">
        <is>
          <t>Unpaid</t>
        </is>
      </c>
      <c r="L28" s="26" t="inlineStr">
        <is>
          <t>No size on file</t>
        </is>
      </c>
      <c r="M28" s="24" t="n"/>
      <c r="N28" s="24" t="n"/>
      <c r="O28" s="24" t="inlineStr">
        <is>
          <t>YES</t>
        </is>
      </c>
      <c r="P28" s="26" t="inlineStr">
        <is>
          <t>Listed as "Sid".</t>
        </is>
      </c>
    </row>
    <row r="29" ht="23.85" customHeight="1" s="20">
      <c r="A29" s="24" t="n">
        <v>25</v>
      </c>
      <c r="B29" s="25" t="inlineStr">
        <is>
          <t>Kristoff De Los Reyes</t>
        </is>
      </c>
      <c r="C29" s="26" t="n"/>
      <c r="D29" s="24" t="inlineStr">
        <is>
          <t>Re-enrolled</t>
        </is>
      </c>
      <c r="E29" s="24" t="n"/>
      <c r="F29" s="25" t="n"/>
      <c r="G29" s="27" t="n">
        <v>8000</v>
      </c>
      <c r="H29" s="27" t="n">
        <v>2500</v>
      </c>
      <c r="I29" s="27">
        <f>MAX(G29-H29,0)</f>
        <v/>
      </c>
      <c r="J29" s="24">
        <f>IF(I29&lt;=0,"Fully Paid","Balance")</f>
        <v/>
      </c>
      <c r="K29" s="24" t="inlineStr">
        <is>
          <t>Paid</t>
        </is>
      </c>
      <c r="L29" s="26" t="inlineStr">
        <is>
          <t>No size on file</t>
        </is>
      </c>
      <c r="M29" s="24" t="n"/>
      <c r="N29" s="24" t="n"/>
      <c r="O29" s="24" t="inlineStr">
        <is>
          <t>YES</t>
        </is>
      </c>
      <c r="P29" s="26" t="inlineStr">
        <is>
          <t>₱2,500 recorded — assumed tournament fee. ₱5,500 training balance remains.</t>
        </is>
      </c>
    </row>
    <row r="30" ht="23.85" customHeight="1" s="20">
      <c r="A30" s="24" t="n">
        <v>26</v>
      </c>
      <c r="B30" s="25" t="inlineStr">
        <is>
          <t>Daniel Nicolo T. Barranda</t>
        </is>
      </c>
      <c r="C30" s="26" t="n"/>
      <c r="D30" s="24" t="inlineStr">
        <is>
          <t>Re-enrolled</t>
        </is>
      </c>
      <c r="E30" s="24" t="n"/>
      <c r="F30" s="25" t="n"/>
      <c r="G30" s="27" t="n">
        <v>5500</v>
      </c>
      <c r="H30" s="27" t="n">
        <v>1000</v>
      </c>
      <c r="I30" s="27">
        <f>MAX(G30-H30,0)</f>
        <v/>
      </c>
      <c r="J30" s="24">
        <f>IF(I30&lt;=0,"Fully Paid","Balance")</f>
        <v/>
      </c>
      <c r="K30" s="24" t="inlineStr">
        <is>
          <t>Waived</t>
        </is>
      </c>
      <c r="L30" s="26" t="inlineStr">
        <is>
          <t>No size on file</t>
        </is>
      </c>
      <c r="M30" s="24" t="n"/>
      <c r="N30" s="24" t="n"/>
      <c r="O30" s="24" t="inlineStr">
        <is>
          <t>YES</t>
        </is>
      </c>
      <c r="P30" s="26" t="inlineStr">
        <is>
          <t>Free Tournament Fee Voucher. ₱1,000 recorded; ₱4,500 training balance remains.</t>
        </is>
      </c>
    </row>
    <row r="31" ht="15" customHeight="1" s="20">
      <c r="A31" s="24" t="n">
        <v>27</v>
      </c>
      <c r="B31" s="25" t="inlineStr">
        <is>
          <t>Prince Xavier Isaac Lajarca</t>
        </is>
      </c>
      <c r="C31" s="26" t="n"/>
      <c r="D31" s="24" t="inlineStr">
        <is>
          <t>Scholar</t>
        </is>
      </c>
      <c r="E31" s="24" t="n"/>
      <c r="F31" s="25" t="n"/>
      <c r="G31" s="27" t="n">
        <v>2500</v>
      </c>
      <c r="H31" s="27" t="n">
        <v>0</v>
      </c>
      <c r="I31" s="27">
        <f>MAX(G31-H31,0)</f>
        <v/>
      </c>
      <c r="J31" s="24">
        <f>IF(I31&lt;=0,"Fully Paid","Balance")</f>
        <v/>
      </c>
      <c r="K31" s="24" t="inlineStr">
        <is>
          <t>Unpaid</t>
        </is>
      </c>
      <c r="L31" s="26" t="inlineStr">
        <is>
          <t>No size on file</t>
        </is>
      </c>
      <c r="M31" s="24" t="n"/>
      <c r="N31" s="24" t="n"/>
      <c r="O31" s="24" t="inlineStr">
        <is>
          <t>YES</t>
        </is>
      </c>
      <c r="P31" s="26" t="inlineStr">
        <is>
          <t>Listed as "Lajarca".</t>
        </is>
      </c>
    </row>
    <row r="32" ht="23.85" customHeight="1" s="20">
      <c r="A32" s="24" t="n">
        <v>28</v>
      </c>
      <c r="B32" s="25" t="inlineStr">
        <is>
          <t>Yuan Mattheus de Castro</t>
        </is>
      </c>
      <c r="C32" s="26" t="inlineStr">
        <is>
          <t>Jhon Herbert De Castro</t>
        </is>
      </c>
      <c r="D32" s="24" t="inlineStr">
        <is>
          <t>New</t>
        </is>
      </c>
      <c r="E32" s="24" t="inlineStr">
        <is>
          <t>#29</t>
        </is>
      </c>
      <c r="F32" s="25" t="inlineStr">
        <is>
          <t>Yuan</t>
        </is>
      </c>
      <c r="G32" s="27" t="n">
        <v>10600</v>
      </c>
      <c r="H32" s="27" t="n">
        <v>6500</v>
      </c>
      <c r="I32" s="27">
        <f>MAX(G32-H32,0)</f>
        <v/>
      </c>
      <c r="J32" s="24">
        <f>IF(I32&lt;=0,"Fully Paid","Balance")</f>
        <v/>
      </c>
      <c r="K32" s="24" t="inlineStr">
        <is>
          <t>Unpaid</t>
        </is>
      </c>
      <c r="L32" s="26" t="inlineStr">
        <is>
          <t>Body 34, Length 25, Short hips 36, Short length 16</t>
        </is>
      </c>
      <c r="M32" s="24" t="n"/>
      <c r="N32" s="24" t="n"/>
      <c r="O32" s="24" t="inlineStr">
        <is>
          <t>YES</t>
        </is>
      </c>
      <c r="P32" s="26" t="inlineStr">
        <is>
          <t>FB. ₱6,500 recorded.</t>
        </is>
      </c>
    </row>
    <row r="33" ht="15" customHeight="1" s="20">
      <c r="A33" s="24" t="n">
        <v>29</v>
      </c>
      <c r="B33" s="25" t="inlineStr">
        <is>
          <t>Enzo Gabriel U. Baes</t>
        </is>
      </c>
      <c r="C33" s="26" t="inlineStr">
        <is>
          <t>Apple Umali</t>
        </is>
      </c>
      <c r="D33" s="24" t="inlineStr">
        <is>
          <t>New</t>
        </is>
      </c>
      <c r="E33" s="24" t="inlineStr">
        <is>
          <t>#16</t>
        </is>
      </c>
      <c r="F33" s="25" t="inlineStr">
        <is>
          <t>Baes</t>
        </is>
      </c>
      <c r="G33" s="27" t="n">
        <v>10600</v>
      </c>
      <c r="H33" s="27" t="n">
        <v>9100</v>
      </c>
      <c r="I33" s="27">
        <f>MAX(G33-H33,0)</f>
        <v/>
      </c>
      <c r="J33" s="24">
        <f>IF(I33&lt;=0,"Fully Paid","Balance")</f>
        <v/>
      </c>
      <c r="K33" s="24" t="inlineStr">
        <is>
          <t>Unpaid</t>
        </is>
      </c>
      <c r="L33" s="26" t="inlineStr">
        <is>
          <t>Top S, Short S</t>
        </is>
      </c>
      <c r="M33" s="24" t="n"/>
      <c r="N33" s="24" t="n"/>
      <c r="O33" s="24" t="inlineStr">
        <is>
          <t>YES</t>
        </is>
      </c>
      <c r="P33" s="26" t="inlineStr">
        <is>
          <t>₱9,100 recorded. ₱1,500 balance remaining.</t>
        </is>
      </c>
    </row>
    <row r="34" ht="15" customHeight="1" s="20">
      <c r="A34" s="24" t="n">
        <v>30</v>
      </c>
      <c r="B34" s="25" t="inlineStr">
        <is>
          <t>Jervie Jacob Villena</t>
        </is>
      </c>
      <c r="C34" s="26" t="n"/>
      <c r="D34" s="24" t="inlineStr">
        <is>
          <t>Re-enrolled</t>
        </is>
      </c>
      <c r="E34" s="24" t="n"/>
      <c r="F34" s="25" t="n"/>
      <c r="G34" s="27" t="n">
        <v>8000</v>
      </c>
      <c r="H34" s="27" t="n">
        <v>0</v>
      </c>
      <c r="I34" s="27">
        <f>MAX(G34-H34,0)</f>
        <v/>
      </c>
      <c r="J34" s="24">
        <f>IF(I34&lt;=0,"Fully Paid","Balance")</f>
        <v/>
      </c>
      <c r="K34" s="24" t="inlineStr">
        <is>
          <t>Unpaid</t>
        </is>
      </c>
      <c r="L34" s="26" t="inlineStr">
        <is>
          <t>No size on file</t>
        </is>
      </c>
      <c r="M34" s="24" t="n"/>
      <c r="N34" s="24" t="n"/>
      <c r="O34" s="24" t="inlineStr">
        <is>
          <t>YES</t>
        </is>
      </c>
      <c r="P34" s="26" t="inlineStr">
        <is>
          <t>Listed as "Jacob Villena".</t>
        </is>
      </c>
    </row>
    <row r="35" ht="15" customHeight="1" s="20">
      <c r="A35" s="24" t="n">
        <v>31</v>
      </c>
      <c r="B35" s="25" t="inlineStr">
        <is>
          <t>Marcio Noel A. Valencia</t>
        </is>
      </c>
      <c r="C35" s="26" t="n"/>
      <c r="D35" s="24" t="inlineStr">
        <is>
          <t>Scholar</t>
        </is>
      </c>
      <c r="E35" s="24" t="n"/>
      <c r="F35" s="25" t="n"/>
      <c r="G35" s="27" t="n">
        <v>2500</v>
      </c>
      <c r="H35" s="27" t="n">
        <v>2500</v>
      </c>
      <c r="I35" s="27">
        <f>MAX(G35-H35,0)</f>
        <v/>
      </c>
      <c r="J35" s="24">
        <f>IF(I35&lt;=0,"Fully Paid","Balance")</f>
        <v/>
      </c>
      <c r="K35" s="24" t="inlineStr">
        <is>
          <t>Paid</t>
        </is>
      </c>
      <c r="L35" s="26" t="inlineStr">
        <is>
          <t>No size on file</t>
        </is>
      </c>
      <c r="M35" s="24" t="n"/>
      <c r="N35" s="24" t="n"/>
      <c r="O35" s="24" t="inlineStr">
        <is>
          <t>YES</t>
        </is>
      </c>
      <c r="P35" s="26" t="n"/>
    </row>
    <row r="36" ht="15" customHeight="1" s="20">
      <c r="A36" s="24" t="n">
        <v>32</v>
      </c>
      <c r="B36" s="25" t="inlineStr">
        <is>
          <t>Ashton Troy U. Rezaba</t>
        </is>
      </c>
      <c r="C36" s="26" t="inlineStr">
        <is>
          <t>Rustan Rezaba</t>
        </is>
      </c>
      <c r="D36" s="24" t="inlineStr">
        <is>
          <t>New</t>
        </is>
      </c>
      <c r="E36" s="24" t="inlineStr">
        <is>
          <t>#15</t>
        </is>
      </c>
      <c r="F36" s="25" t="inlineStr">
        <is>
          <t>Rezaba</t>
        </is>
      </c>
      <c r="G36" s="27" t="n">
        <v>10600</v>
      </c>
      <c r="H36" s="27" t="n">
        <v>4050</v>
      </c>
      <c r="I36" s="27">
        <f>MAX(G36-H36,0)</f>
        <v/>
      </c>
      <c r="J36" s="24">
        <f>IF(I36&lt;=0,"Fully Paid","Balance")</f>
        <v/>
      </c>
      <c r="K36" s="24" t="inlineStr">
        <is>
          <t>Unpaid</t>
        </is>
      </c>
      <c r="L36" s="26" t="inlineStr">
        <is>
          <t>Top age 11-12, Short age 11-12</t>
        </is>
      </c>
      <c r="M36" s="24" t="n"/>
      <c r="N36" s="24" t="n"/>
      <c r="O36" s="24" t="inlineStr">
        <is>
          <t>YES</t>
        </is>
      </c>
      <c r="P36" s="26" t="inlineStr">
        <is>
          <t>FB. Twin — jersey #15 per your note.</t>
        </is>
      </c>
    </row>
    <row r="37" ht="23.85" customHeight="1" s="20">
      <c r="A37" s="24" t="n">
        <v>33</v>
      </c>
      <c r="B37" s="25" t="inlineStr">
        <is>
          <t>Ian Kaeden Fomodulan</t>
        </is>
      </c>
      <c r="C37" s="26" t="inlineStr">
        <is>
          <t>Alice Robles-Famodulan</t>
        </is>
      </c>
      <c r="D37" s="24" t="inlineStr">
        <is>
          <t>New</t>
        </is>
      </c>
      <c r="E37" s="24" t="inlineStr">
        <is>
          <t>#10</t>
        </is>
      </c>
      <c r="F37" s="25" t="inlineStr">
        <is>
          <t>Fomodulan</t>
        </is>
      </c>
      <c r="G37" s="28" t="n">
        <v>9100</v>
      </c>
      <c r="H37" s="28" t="n">
        <v>4600</v>
      </c>
      <c r="I37" s="28">
        <f>MAX(G37-H37,0)</f>
        <v/>
      </c>
      <c r="J37" s="29">
        <f>IF(I37&lt;=0,"Fully Paid","Balance")</f>
        <v/>
      </c>
      <c r="K37" s="24" t="inlineStr">
        <is>
          <t>Unpaid</t>
        </is>
      </c>
      <c r="L37" s="26" t="inlineStr">
        <is>
          <t>Top 9-10, Short 9-10</t>
        </is>
      </c>
      <c r="M37" s="24" t="n"/>
      <c r="N37" s="24" t="n"/>
      <c r="O37" s="24" t="inlineStr">
        <is>
          <t>YES</t>
        </is>
      </c>
      <c r="P37" s="26" t="inlineStr">
        <is>
          <t>Adjusted 7-session rate (₱4,000 sessions) in place of the ₱5,500 full package. Total ₱9,100 · ₱4,600 paid · ₱4,500 balance.</t>
        </is>
      </c>
    </row>
    <row r="38" ht="15" customHeight="1" s="20">
      <c r="A38" s="24" t="n">
        <v>34</v>
      </c>
      <c r="B38" s="25" t="inlineStr">
        <is>
          <t>Yusef Andrei Sy</t>
        </is>
      </c>
      <c r="C38" s="26" t="n"/>
      <c r="D38" s="24" t="inlineStr">
        <is>
          <t>Scholar</t>
        </is>
      </c>
      <c r="E38" s="24" t="n"/>
      <c r="F38" s="25" t="n"/>
      <c r="G38" s="27" t="n">
        <v>2500</v>
      </c>
      <c r="H38" s="27" t="n">
        <v>0</v>
      </c>
      <c r="I38" s="27">
        <f>MAX(G38-H38,0)</f>
        <v/>
      </c>
      <c r="J38" s="24">
        <f>IF(I38&lt;=0,"Fully Paid","Balance")</f>
        <v/>
      </c>
      <c r="K38" s="24" t="inlineStr">
        <is>
          <t>Unpaid</t>
        </is>
      </c>
      <c r="L38" s="26" t="inlineStr">
        <is>
          <t>No size on file</t>
        </is>
      </c>
      <c r="M38" s="24" t="n"/>
      <c r="N38" s="24" t="n"/>
      <c r="O38" s="24" t="inlineStr">
        <is>
          <t>YES</t>
        </is>
      </c>
      <c r="P38" s="26" t="n"/>
    </row>
    <row r="39" ht="15" customHeight="1" s="20">
      <c r="A39" s="24" t="n">
        <v>35</v>
      </c>
      <c r="B39" s="25" t="inlineStr">
        <is>
          <t>Adriel Morelli M. Recinto</t>
        </is>
      </c>
      <c r="C39" s="26" t="n"/>
      <c r="D39" s="24" t="inlineStr">
        <is>
          <t>Scholar</t>
        </is>
      </c>
      <c r="E39" s="24" t="n"/>
      <c r="F39" s="25" t="n"/>
      <c r="G39" s="27" t="n">
        <v>2500</v>
      </c>
      <c r="H39" s="27" t="n">
        <v>0</v>
      </c>
      <c r="I39" s="27">
        <f>MAX(G39-H39,0)</f>
        <v/>
      </c>
      <c r="J39" s="24">
        <f>IF(I39&lt;=0,"Fully Paid","Balance")</f>
        <v/>
      </c>
      <c r="K39" s="24" t="inlineStr">
        <is>
          <t>Unpaid</t>
        </is>
      </c>
      <c r="L39" s="26" t="inlineStr">
        <is>
          <t>No size on file</t>
        </is>
      </c>
      <c r="M39" s="24" t="n"/>
      <c r="N39" s="24" t="n"/>
      <c r="O39" s="24" t="inlineStr">
        <is>
          <t>YES</t>
        </is>
      </c>
      <c r="P39" s="26" t="inlineStr">
        <is>
          <t>Listed as "Adi".</t>
        </is>
      </c>
    </row>
    <row r="40" ht="15" customHeight="1" s="20">
      <c r="A40" s="24" t="n">
        <v>36</v>
      </c>
      <c r="B40" s="25" t="inlineStr">
        <is>
          <t>Jeff Moises Geloso</t>
        </is>
      </c>
      <c r="C40" s="26" t="inlineStr">
        <is>
          <t>Vanessa L. Reanzares</t>
        </is>
      </c>
      <c r="D40" s="24" t="inlineStr">
        <is>
          <t>New</t>
        </is>
      </c>
      <c r="E40" s="24" t="inlineStr">
        <is>
          <t>#02</t>
        </is>
      </c>
      <c r="F40" s="25" t="inlineStr">
        <is>
          <t>Geloso</t>
        </is>
      </c>
      <c r="G40" s="27" t="n">
        <v>10600</v>
      </c>
      <c r="H40" s="27" t="n">
        <v>10600</v>
      </c>
      <c r="I40" s="27">
        <f>MAX(G40-H40,0)</f>
        <v/>
      </c>
      <c r="J40" s="24">
        <f>IF(I40&lt;=0,"Fully Paid","Balance")</f>
        <v/>
      </c>
      <c r="K40" s="24" t="inlineStr">
        <is>
          <t>Paid</t>
        </is>
      </c>
      <c r="L40" s="26" t="inlineStr">
        <is>
          <t>Top 9-10, Short 9-10</t>
        </is>
      </c>
      <c r="M40" s="24" t="n"/>
      <c r="N40" s="24" t="n"/>
      <c r="O40" s="24" t="inlineStr">
        <is>
          <t>YES</t>
        </is>
      </c>
      <c r="P40" s="26" t="n"/>
    </row>
    <row r="41" ht="23.85" customHeight="1" s="20">
      <c r="A41" s="30" t="n">
        <v>37</v>
      </c>
      <c r="B41" s="31" t="inlineStr">
        <is>
          <t>Joel Mercado Panganiban</t>
        </is>
      </c>
      <c r="C41" s="32" t="inlineStr">
        <is>
          <t>Joel Mercado Panganiban</t>
        </is>
      </c>
      <c r="D41" s="30" t="inlineStr">
        <is>
          <t>New</t>
        </is>
      </c>
      <c r="E41" s="30" t="inlineStr">
        <is>
          <t>#12</t>
        </is>
      </c>
      <c r="F41" s="31" t="inlineStr">
        <is>
          <t>Panganiban</t>
        </is>
      </c>
      <c r="G41" s="33" t="n">
        <v>10600</v>
      </c>
      <c r="H41" s="33" t="n">
        <v>5500</v>
      </c>
      <c r="I41" s="33">
        <f>MAX(G41-H41,0)</f>
        <v/>
      </c>
      <c r="J41" s="30">
        <f>IF(I41&lt;=0,"Fully Paid","Balance")</f>
        <v/>
      </c>
      <c r="K41" s="30" t="inlineStr">
        <is>
          <t>Unpaid</t>
        </is>
      </c>
      <c r="L41" s="32" t="inlineStr">
        <is>
          <t>Top 11-12, Short 11-12</t>
        </is>
      </c>
      <c r="M41" s="30" t="n"/>
      <c r="N41" s="30" t="n"/>
      <c r="O41" s="30" t="inlineStr">
        <is>
          <t>NO</t>
        </is>
      </c>
      <c r="P41" s="32" t="inlineStr">
        <is>
          <t>NOT PLAYING — paid new player with uniform, added for records only.</t>
        </is>
      </c>
    </row>
    <row r="42" ht="15" customHeight="1" s="20">
      <c r="F42" s="34" t="inlineStr">
        <is>
          <t>TOTALS (playing)</t>
        </is>
      </c>
      <c r="G42" s="35">
        <f>SUMIF(O5:O41,"YES",G5:G41)</f>
        <v/>
      </c>
      <c r="H42" s="35">
        <f>SUMIF(O5:O41,"YES",H5:H41)</f>
        <v/>
      </c>
      <c r="I42" s="35">
        <f>SUMIF(O5:O41,"YES",I5:I41)</f>
        <v/>
      </c>
    </row>
  </sheetData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9" min="1" max="1"/>
    <col width="26" customWidth="1" style="19" min="2" max="2"/>
    <col width="12" customWidth="1" style="19" min="3" max="3"/>
    <col width="13" customWidth="1" style="19" min="4" max="5"/>
    <col width="17" customWidth="1" style="19" min="6" max="6"/>
    <col width="14" customWidth="1" style="19" min="7" max="7"/>
    <col width="12" customWidth="1" style="19" min="8" max="10"/>
  </cols>
  <sheetData>
    <row r="1" ht="18.55" customHeight="1" s="20">
      <c r="A1" s="21" t="inlineStr">
        <is>
          <t>PAYMENT BREAKDOWN — BATCH 23</t>
        </is>
      </c>
    </row>
    <row r="2" ht="15" customHeight="1" s="20">
      <c r="A2" s="22" t="inlineStr">
        <is>
          <t>Total Due and Balance are live formulas. Edit "Total Paid" as payments come in.</t>
        </is>
      </c>
    </row>
    <row r="4" ht="15" customHeight="1" s="20">
      <c r="A4" s="23" t="inlineStr">
        <is>
          <t>#</t>
        </is>
      </c>
      <c r="B4" s="23" t="inlineStr">
        <is>
          <t>Player</t>
        </is>
      </c>
      <c r="C4" s="23" t="inlineStr">
        <is>
          <t>Category</t>
        </is>
      </c>
      <c r="D4" s="23" t="inlineStr">
        <is>
          <t>Training Fee</t>
        </is>
      </c>
      <c r="E4" s="23" t="inlineStr">
        <is>
          <t>Batch Uniform</t>
        </is>
      </c>
      <c r="F4" s="23" t="inlineStr">
        <is>
          <t>Tournament Uniform</t>
        </is>
      </c>
      <c r="G4" s="23" t="inlineStr">
        <is>
          <t>Tournament Fee</t>
        </is>
      </c>
      <c r="H4" s="23" t="inlineStr">
        <is>
          <t>Total Due</t>
        </is>
      </c>
      <c r="I4" s="23" t="inlineStr">
        <is>
          <t>Total Paid</t>
        </is>
      </c>
      <c r="J4" s="23" t="inlineStr">
        <is>
          <t>Balance</t>
        </is>
      </c>
    </row>
    <row r="5" ht="15" customHeight="1" s="20">
      <c r="A5" s="24" t="n">
        <v>1</v>
      </c>
      <c r="B5" s="25" t="inlineStr">
        <is>
          <t>Alfonz Miguel Pamilar</t>
        </is>
      </c>
      <c r="C5" s="24" t="inlineStr">
        <is>
          <t>Re-enrolled</t>
        </is>
      </c>
      <c r="D5" s="27" t="n">
        <v>5500</v>
      </c>
      <c r="E5" s="27" t="n">
        <v>0</v>
      </c>
      <c r="F5" s="27" t="n">
        <v>0</v>
      </c>
      <c r="G5" s="27" t="n">
        <v>2500</v>
      </c>
      <c r="H5" s="27">
        <f>SUM(D5:G5)</f>
        <v/>
      </c>
      <c r="I5" s="27" t="n">
        <v>8000</v>
      </c>
      <c r="J5" s="27">
        <f>MAX(H5-I5,0)</f>
        <v/>
      </c>
    </row>
    <row r="6" ht="15" customHeight="1" s="20">
      <c r="A6" s="24" t="n">
        <v>2</v>
      </c>
      <c r="B6" s="25" t="inlineStr">
        <is>
          <t>Victor Andrew S. Abriza</t>
        </is>
      </c>
      <c r="C6" s="24" t="inlineStr">
        <is>
          <t>Re-enrolled</t>
        </is>
      </c>
      <c r="D6" s="27" t="n">
        <v>5500</v>
      </c>
      <c r="E6" s="27" t="n">
        <v>0</v>
      </c>
      <c r="F6" s="27" t="n">
        <v>0</v>
      </c>
      <c r="G6" s="27" t="n">
        <v>2500</v>
      </c>
      <c r="H6" s="27">
        <f>SUM(D6:G6)</f>
        <v/>
      </c>
      <c r="I6" s="27" t="n">
        <v>5500</v>
      </c>
      <c r="J6" s="27">
        <f>MAX(H6-I6,0)</f>
        <v/>
      </c>
    </row>
    <row r="7" ht="15" customHeight="1" s="20">
      <c r="A7" s="24" t="n">
        <v>3</v>
      </c>
      <c r="B7" s="25" t="inlineStr">
        <is>
          <t>Gavin Rojan E. Salva</t>
        </is>
      </c>
      <c r="C7" s="24" t="inlineStr">
        <is>
          <t>Re-enrolled</t>
        </is>
      </c>
      <c r="D7" s="27" t="n">
        <v>5500</v>
      </c>
      <c r="E7" s="27" t="n">
        <v>0</v>
      </c>
      <c r="F7" s="27" t="n">
        <v>0</v>
      </c>
      <c r="G7" s="27" t="n">
        <v>2500</v>
      </c>
      <c r="H7" s="27">
        <f>SUM(D7:G7)</f>
        <v/>
      </c>
      <c r="I7" s="27" t="n">
        <v>5500</v>
      </c>
      <c r="J7" s="27">
        <f>MAX(H7-I7,0)</f>
        <v/>
      </c>
    </row>
    <row r="8" ht="15" customHeight="1" s="20">
      <c r="A8" s="24" t="n">
        <v>4</v>
      </c>
      <c r="B8" s="25" t="inlineStr">
        <is>
          <t>Chael Juadines</t>
        </is>
      </c>
      <c r="C8" s="24" t="inlineStr">
        <is>
          <t>New</t>
        </is>
      </c>
      <c r="D8" s="27" t="n">
        <v>5500</v>
      </c>
      <c r="E8" s="27" t="n">
        <v>1000</v>
      </c>
      <c r="F8" s="27" t="n">
        <v>1600</v>
      </c>
      <c r="G8" s="27" t="n">
        <v>2500</v>
      </c>
      <c r="H8" s="27">
        <f>SUM(D8:G8)</f>
        <v/>
      </c>
      <c r="I8" s="27" t="n">
        <v>4050</v>
      </c>
      <c r="J8" s="27">
        <f>MAX(H8-I8,0)</f>
        <v/>
      </c>
    </row>
    <row r="9" ht="15" customHeight="1" s="20">
      <c r="A9" s="24" t="n">
        <v>5</v>
      </c>
      <c r="B9" s="25" t="inlineStr">
        <is>
          <t>Yohan Ezekiel A. Belen</t>
        </is>
      </c>
      <c r="C9" s="24" t="inlineStr">
        <is>
          <t>Re-enrolled</t>
        </is>
      </c>
      <c r="D9" s="27" t="n">
        <v>5500</v>
      </c>
      <c r="E9" s="27" t="n">
        <v>0</v>
      </c>
      <c r="F9" s="27" t="n">
        <v>0</v>
      </c>
      <c r="G9" s="27" t="n">
        <v>2500</v>
      </c>
      <c r="H9" s="27">
        <f>SUM(D9:G9)</f>
        <v/>
      </c>
      <c r="I9" s="27" t="n">
        <v>8000</v>
      </c>
      <c r="J9" s="27">
        <f>MAX(H9-I9,0)</f>
        <v/>
      </c>
    </row>
    <row r="10" ht="15" customHeight="1" s="20">
      <c r="A10" s="24" t="n">
        <v>6</v>
      </c>
      <c r="B10" s="25" t="inlineStr">
        <is>
          <t>Francis Yves C. Suavengco</t>
        </is>
      </c>
      <c r="C10" s="24" t="inlineStr">
        <is>
          <t>New</t>
        </is>
      </c>
      <c r="D10" s="27" t="n">
        <v>5500</v>
      </c>
      <c r="E10" s="27" t="n">
        <v>1000</v>
      </c>
      <c r="F10" s="27" t="n">
        <v>1600</v>
      </c>
      <c r="G10" s="27" t="n">
        <v>2500</v>
      </c>
      <c r="H10" s="27">
        <f>SUM(D10:G10)</f>
        <v/>
      </c>
      <c r="I10" s="27" t="n">
        <v>5100</v>
      </c>
      <c r="J10" s="27">
        <f>MAX(H10-I10,0)</f>
        <v/>
      </c>
    </row>
    <row r="11" ht="15" customHeight="1" s="20">
      <c r="A11" s="24" t="n">
        <v>7</v>
      </c>
      <c r="B11" s="25" t="inlineStr">
        <is>
          <t>Lucas Adam De Chavez</t>
        </is>
      </c>
      <c r="C11" s="24" t="inlineStr">
        <is>
          <t>New</t>
        </is>
      </c>
      <c r="D11" s="27" t="n">
        <v>5500</v>
      </c>
      <c r="E11" s="27" t="n">
        <v>1000</v>
      </c>
      <c r="F11" s="27" t="n">
        <v>1600</v>
      </c>
      <c r="G11" s="27" t="n">
        <v>2500</v>
      </c>
      <c r="H11" s="27">
        <f>SUM(D11:G11)</f>
        <v/>
      </c>
      <c r="I11" s="27" t="n">
        <v>4050</v>
      </c>
      <c r="J11" s="27">
        <f>MAX(H11-I11,0)</f>
        <v/>
      </c>
    </row>
    <row r="12" ht="15" customHeight="1" s="20">
      <c r="A12" s="24" t="n">
        <v>8</v>
      </c>
      <c r="B12" s="25" t="inlineStr">
        <is>
          <t>Ram Raynard M. Balanay</t>
        </is>
      </c>
      <c r="C12" s="24" t="inlineStr">
        <is>
          <t>New</t>
        </is>
      </c>
      <c r="D12" s="27" t="n">
        <v>5500</v>
      </c>
      <c r="E12" s="27" t="n">
        <v>1000</v>
      </c>
      <c r="F12" s="27" t="n">
        <v>1600</v>
      </c>
      <c r="G12" s="27" t="n">
        <v>2500</v>
      </c>
      <c r="H12" s="27">
        <f>SUM(D12:G12)</f>
        <v/>
      </c>
      <c r="I12" s="27" t="n">
        <v>4050</v>
      </c>
      <c r="J12" s="27">
        <f>MAX(H12-I12,0)</f>
        <v/>
      </c>
    </row>
    <row r="13" ht="15" customHeight="1" s="20">
      <c r="A13" s="24" t="n">
        <v>9</v>
      </c>
      <c r="B13" s="25" t="inlineStr">
        <is>
          <t>Zeff Elison R. Samson</t>
        </is>
      </c>
      <c r="C13" s="24" t="inlineStr">
        <is>
          <t>Re-enrolled</t>
        </is>
      </c>
      <c r="D13" s="27" t="n">
        <v>5500</v>
      </c>
      <c r="E13" s="27" t="n">
        <v>0</v>
      </c>
      <c r="F13" s="27" t="n">
        <v>0</v>
      </c>
      <c r="G13" s="27" t="n">
        <v>2500</v>
      </c>
      <c r="H13" s="27">
        <f>SUM(D13:G13)</f>
        <v/>
      </c>
      <c r="I13" s="27" t="n">
        <v>8000</v>
      </c>
      <c r="J13" s="27">
        <f>MAX(H13-I13,0)</f>
        <v/>
      </c>
    </row>
    <row r="14" ht="15" customHeight="1" s="20">
      <c r="A14" s="24" t="n">
        <v>10</v>
      </c>
      <c r="B14" s="25" t="inlineStr">
        <is>
          <t>Maizon Africa</t>
        </is>
      </c>
      <c r="C14" s="24" t="inlineStr">
        <is>
          <t>New</t>
        </is>
      </c>
      <c r="D14" s="27" t="n">
        <v>5500</v>
      </c>
      <c r="E14" s="27" t="n">
        <v>1000</v>
      </c>
      <c r="F14" s="27" t="n">
        <v>1600</v>
      </c>
      <c r="G14" s="27" t="n">
        <v>2500</v>
      </c>
      <c r="H14" s="27">
        <f>SUM(D14:G14)</f>
        <v/>
      </c>
      <c r="I14" s="27" t="n">
        <v>10600</v>
      </c>
      <c r="J14" s="27">
        <f>MAX(H14-I14,0)</f>
        <v/>
      </c>
    </row>
    <row r="15" ht="15" customHeight="1" s="20">
      <c r="A15" s="24" t="n">
        <v>11</v>
      </c>
      <c r="B15" s="25" t="inlineStr">
        <is>
          <t>Primo Diaz</t>
        </is>
      </c>
      <c r="C15" s="24" t="inlineStr">
        <is>
          <t>New</t>
        </is>
      </c>
      <c r="D15" s="27" t="n">
        <v>5500</v>
      </c>
      <c r="E15" s="27" t="n">
        <v>1000</v>
      </c>
      <c r="F15" s="27" t="n">
        <v>1600</v>
      </c>
      <c r="G15" s="27" t="n">
        <v>2500</v>
      </c>
      <c r="H15" s="27">
        <f>SUM(D15:G15)</f>
        <v/>
      </c>
      <c r="I15" s="27" t="n">
        <v>4050</v>
      </c>
      <c r="J15" s="27">
        <f>MAX(H15-I15,0)</f>
        <v/>
      </c>
    </row>
    <row r="16" ht="15" customHeight="1" s="20">
      <c r="A16" s="24" t="n">
        <v>12</v>
      </c>
      <c r="B16" s="25" t="inlineStr">
        <is>
          <t>Marcus Riley Magpantay</t>
        </is>
      </c>
      <c r="C16" s="24" t="inlineStr">
        <is>
          <t>Re-enrolled</t>
        </is>
      </c>
      <c r="D16" s="27" t="n">
        <v>5500</v>
      </c>
      <c r="E16" s="27" t="n">
        <v>0</v>
      </c>
      <c r="F16" s="27" t="n">
        <v>0</v>
      </c>
      <c r="G16" s="27" t="n">
        <v>2500</v>
      </c>
      <c r="H16" s="27">
        <f>SUM(D16:G16)</f>
        <v/>
      </c>
      <c r="I16" s="27" t="n">
        <v>8000</v>
      </c>
      <c r="J16" s="27">
        <f>MAX(H16-I16,0)</f>
        <v/>
      </c>
    </row>
    <row r="17" ht="15" customHeight="1" s="20">
      <c r="A17" s="24" t="n">
        <v>13</v>
      </c>
      <c r="B17" s="25" t="inlineStr">
        <is>
          <t>Carl Miguel Prillo</t>
        </is>
      </c>
      <c r="C17" s="24" t="inlineStr">
        <is>
          <t>Scholar</t>
        </is>
      </c>
      <c r="D17" s="27" t="n">
        <v>0</v>
      </c>
      <c r="E17" s="27" t="n">
        <v>0</v>
      </c>
      <c r="F17" s="27" t="n">
        <v>0</v>
      </c>
      <c r="G17" s="27" t="n">
        <v>2500</v>
      </c>
      <c r="H17" s="27">
        <f>SUM(D17:G17)</f>
        <v/>
      </c>
      <c r="I17" s="27" t="n">
        <v>0</v>
      </c>
      <c r="J17" s="27">
        <f>MAX(H17-I17,0)</f>
        <v/>
      </c>
    </row>
    <row r="18" ht="15" customHeight="1" s="20">
      <c r="A18" s="24" t="n">
        <v>14</v>
      </c>
      <c r="B18" s="25" t="inlineStr">
        <is>
          <t>Jaime David S. Abriza</t>
        </is>
      </c>
      <c r="C18" s="24" t="inlineStr">
        <is>
          <t>Scholar</t>
        </is>
      </c>
      <c r="D18" s="27" t="n">
        <v>0</v>
      </c>
      <c r="E18" s="27" t="n">
        <v>0</v>
      </c>
      <c r="F18" s="27" t="n">
        <v>0</v>
      </c>
      <c r="G18" s="27" t="n">
        <v>2500</v>
      </c>
      <c r="H18" s="27">
        <f>SUM(D18:G18)</f>
        <v/>
      </c>
      <c r="I18" s="27" t="n">
        <v>0</v>
      </c>
      <c r="J18" s="27">
        <f>MAX(H18-I18,0)</f>
        <v/>
      </c>
    </row>
    <row r="19" ht="15" customHeight="1" s="20">
      <c r="A19" s="24" t="n">
        <v>15</v>
      </c>
      <c r="B19" s="25" t="inlineStr">
        <is>
          <t>Rafael Jose Magundayao</t>
        </is>
      </c>
      <c r="C19" s="24" t="inlineStr">
        <is>
          <t>Re-enrolled</t>
        </is>
      </c>
      <c r="D19" s="27" t="n">
        <v>5500</v>
      </c>
      <c r="E19" s="27" t="n">
        <v>0</v>
      </c>
      <c r="F19" s="27" t="n">
        <v>0</v>
      </c>
      <c r="G19" s="27" t="n">
        <v>2500</v>
      </c>
      <c r="H19" s="27">
        <f>SUM(D19:G19)</f>
        <v/>
      </c>
      <c r="I19" s="27" t="n">
        <v>0</v>
      </c>
      <c r="J19" s="27">
        <f>MAX(H19-I19,0)</f>
        <v/>
      </c>
    </row>
    <row r="20" ht="15" customHeight="1" s="20">
      <c r="A20" s="24" t="n">
        <v>16</v>
      </c>
      <c r="B20" s="25" t="inlineStr">
        <is>
          <t>Filbert Khian Gapud</t>
        </is>
      </c>
      <c r="C20" s="24" t="inlineStr">
        <is>
          <t>Re-enrolled</t>
        </is>
      </c>
      <c r="D20" s="27" t="n">
        <v>5500</v>
      </c>
      <c r="E20" s="27" t="n">
        <v>0</v>
      </c>
      <c r="F20" s="27" t="n">
        <v>0</v>
      </c>
      <c r="G20" s="27" t="n">
        <v>2500</v>
      </c>
      <c r="H20" s="27">
        <f>SUM(D20:G20)</f>
        <v/>
      </c>
      <c r="I20" s="27" t="n">
        <v>0</v>
      </c>
      <c r="J20" s="27">
        <f>MAX(H20-I20,0)</f>
        <v/>
      </c>
    </row>
    <row r="21" ht="15" customHeight="1" s="20">
      <c r="A21" s="24" t="n">
        <v>17</v>
      </c>
      <c r="B21" s="25" t="inlineStr">
        <is>
          <t>Ezekiel Aiden Sison</t>
        </is>
      </c>
      <c r="C21" s="24" t="inlineStr">
        <is>
          <t>Re-enrolled</t>
        </is>
      </c>
      <c r="D21" s="27" t="n">
        <v>5500</v>
      </c>
      <c r="E21" s="27" t="n">
        <v>0</v>
      </c>
      <c r="F21" s="27" t="n">
        <v>0</v>
      </c>
      <c r="G21" s="27" t="n">
        <v>2500</v>
      </c>
      <c r="H21" s="27">
        <f>SUM(D21:G21)</f>
        <v/>
      </c>
      <c r="I21" s="27" t="n">
        <v>5500</v>
      </c>
      <c r="J21" s="27">
        <f>MAX(H21-I21,0)</f>
        <v/>
      </c>
    </row>
    <row r="22" ht="15" customHeight="1" s="20">
      <c r="A22" s="24" t="n">
        <v>18</v>
      </c>
      <c r="B22" s="25" t="inlineStr">
        <is>
          <t>Hans Linatoc</t>
        </is>
      </c>
      <c r="C22" s="24" t="inlineStr">
        <is>
          <t>Re-enrolled</t>
        </is>
      </c>
      <c r="D22" s="27" t="n">
        <v>5500</v>
      </c>
      <c r="E22" s="27" t="n">
        <v>0</v>
      </c>
      <c r="F22" s="27" t="n">
        <v>0</v>
      </c>
      <c r="G22" s="27" t="n">
        <v>2500</v>
      </c>
      <c r="H22" s="27">
        <f>SUM(D22:G22)</f>
        <v/>
      </c>
      <c r="I22" s="27" t="n">
        <v>8000</v>
      </c>
      <c r="J22" s="27">
        <f>MAX(H22-I22,0)</f>
        <v/>
      </c>
    </row>
    <row r="23" ht="15" customHeight="1" s="20">
      <c r="A23" s="24" t="n">
        <v>19</v>
      </c>
      <c r="B23" s="25" t="inlineStr">
        <is>
          <t>Liam Lonzo Lipana</t>
        </is>
      </c>
      <c r="C23" s="24" t="inlineStr">
        <is>
          <t>Scholar</t>
        </is>
      </c>
      <c r="D23" s="27" t="n">
        <v>0</v>
      </c>
      <c r="E23" s="27" t="n">
        <v>0</v>
      </c>
      <c r="F23" s="27" t="n">
        <v>0</v>
      </c>
      <c r="G23" s="27" t="n">
        <v>2500</v>
      </c>
      <c r="H23" s="27">
        <f>SUM(D23:G23)</f>
        <v/>
      </c>
      <c r="I23" s="27" t="n">
        <v>0</v>
      </c>
      <c r="J23" s="27">
        <f>MAX(H23-I23,0)</f>
        <v/>
      </c>
    </row>
    <row r="24" ht="15" customHeight="1" s="20">
      <c r="A24" s="24" t="n">
        <v>20</v>
      </c>
      <c r="B24" s="25" t="inlineStr">
        <is>
          <t>Austin Trey U. Rezaba</t>
        </is>
      </c>
      <c r="C24" s="24" t="inlineStr">
        <is>
          <t>New</t>
        </is>
      </c>
      <c r="D24" s="27" t="n">
        <v>5500</v>
      </c>
      <c r="E24" s="27" t="n">
        <v>1000</v>
      </c>
      <c r="F24" s="27" t="n">
        <v>1600</v>
      </c>
      <c r="G24" s="27" t="n">
        <v>2500</v>
      </c>
      <c r="H24" s="27">
        <f>SUM(D24:G24)</f>
        <v/>
      </c>
      <c r="I24" s="27" t="n">
        <v>4050</v>
      </c>
      <c r="J24" s="27">
        <f>MAX(H24-I24,0)</f>
        <v/>
      </c>
    </row>
    <row r="25" ht="15" customHeight="1" s="20">
      <c r="A25" s="24" t="n">
        <v>21</v>
      </c>
      <c r="B25" s="25" t="inlineStr">
        <is>
          <t>Ampersand Verismo Diasanta</t>
        </is>
      </c>
      <c r="C25" s="24" t="inlineStr">
        <is>
          <t>Re-enrolled</t>
        </is>
      </c>
      <c r="D25" s="27" t="n">
        <v>5500</v>
      </c>
      <c r="E25" s="27" t="n">
        <v>0</v>
      </c>
      <c r="F25" s="27" t="n">
        <v>0</v>
      </c>
      <c r="G25" s="27" t="n">
        <v>2500</v>
      </c>
      <c r="H25" s="27">
        <f>SUM(D25:G25)</f>
        <v/>
      </c>
      <c r="I25" s="27" t="n">
        <v>5500</v>
      </c>
      <c r="J25" s="27">
        <f>MAX(H25-I25,0)</f>
        <v/>
      </c>
    </row>
    <row r="26" ht="15" customHeight="1" s="20">
      <c r="A26" s="24" t="n">
        <v>22</v>
      </c>
      <c r="B26" s="25" t="inlineStr">
        <is>
          <t>Ethan Von Zachary de Castro</t>
        </is>
      </c>
      <c r="C26" s="24" t="inlineStr">
        <is>
          <t>New</t>
        </is>
      </c>
      <c r="D26" s="27" t="n">
        <v>5500</v>
      </c>
      <c r="E26" s="27" t="n">
        <v>1000</v>
      </c>
      <c r="F26" s="27" t="n">
        <v>1600</v>
      </c>
      <c r="G26" s="27" t="n">
        <v>2500</v>
      </c>
      <c r="H26" s="27">
        <f>SUM(D26:G26)</f>
        <v/>
      </c>
      <c r="I26" s="27" t="n">
        <v>6500</v>
      </c>
      <c r="J26" s="27">
        <f>MAX(H26-I26,0)</f>
        <v/>
      </c>
    </row>
    <row r="27" ht="15" customHeight="1" s="20">
      <c r="A27" s="24" t="n">
        <v>23</v>
      </c>
      <c r="B27" s="25" t="inlineStr">
        <is>
          <t>Kieffer Rov Sanchez</t>
        </is>
      </c>
      <c r="C27" s="24" t="inlineStr">
        <is>
          <t>Scholar</t>
        </is>
      </c>
      <c r="D27" s="27" t="n">
        <v>0</v>
      </c>
      <c r="E27" s="27" t="n">
        <v>0</v>
      </c>
      <c r="F27" s="27" t="n">
        <v>0</v>
      </c>
      <c r="G27" s="27" t="n">
        <v>2500</v>
      </c>
      <c r="H27" s="27">
        <f>SUM(D27:G27)</f>
        <v/>
      </c>
      <c r="I27" s="27" t="n">
        <v>2500</v>
      </c>
      <c r="J27" s="27">
        <f>MAX(H27-I27,0)</f>
        <v/>
      </c>
    </row>
    <row r="28" ht="15" customHeight="1" s="20">
      <c r="A28" s="24" t="n">
        <v>24</v>
      </c>
      <c r="B28" s="25" t="inlineStr">
        <is>
          <t>Isidro Raymundo III</t>
        </is>
      </c>
      <c r="C28" s="24" t="inlineStr">
        <is>
          <t>Scholar</t>
        </is>
      </c>
      <c r="D28" s="27" t="n">
        <v>0</v>
      </c>
      <c r="E28" s="27" t="n">
        <v>0</v>
      </c>
      <c r="F28" s="27" t="n">
        <v>0</v>
      </c>
      <c r="G28" s="27" t="n">
        <v>2500</v>
      </c>
      <c r="H28" s="27">
        <f>SUM(D28:G28)</f>
        <v/>
      </c>
      <c r="I28" s="27" t="n">
        <v>0</v>
      </c>
      <c r="J28" s="27">
        <f>MAX(H28-I28,0)</f>
        <v/>
      </c>
    </row>
    <row r="29" ht="15" customHeight="1" s="20">
      <c r="A29" s="24" t="n">
        <v>25</v>
      </c>
      <c r="B29" s="25" t="inlineStr">
        <is>
          <t>Kristoff De Los Reyes</t>
        </is>
      </c>
      <c r="C29" s="24" t="inlineStr">
        <is>
          <t>Re-enrolled</t>
        </is>
      </c>
      <c r="D29" s="27" t="n">
        <v>5500</v>
      </c>
      <c r="E29" s="27" t="n">
        <v>0</v>
      </c>
      <c r="F29" s="27" t="n">
        <v>0</v>
      </c>
      <c r="G29" s="27" t="n">
        <v>2500</v>
      </c>
      <c r="H29" s="27">
        <f>SUM(D29:G29)</f>
        <v/>
      </c>
      <c r="I29" s="27" t="n">
        <v>2500</v>
      </c>
      <c r="J29" s="27">
        <f>MAX(H29-I29,0)</f>
        <v/>
      </c>
    </row>
    <row r="30" ht="15" customHeight="1" s="20">
      <c r="A30" s="24" t="n">
        <v>26</v>
      </c>
      <c r="B30" s="25" t="inlineStr">
        <is>
          <t>Daniel Nicolo T. Barranda</t>
        </is>
      </c>
      <c r="C30" s="24" t="inlineStr">
        <is>
          <t>Re-enrolled</t>
        </is>
      </c>
      <c r="D30" s="27" t="n">
        <v>5500</v>
      </c>
      <c r="E30" s="27" t="n">
        <v>0</v>
      </c>
      <c r="F30" s="27" t="n">
        <v>0</v>
      </c>
      <c r="G30" s="27" t="n">
        <v>0</v>
      </c>
      <c r="H30" s="27">
        <f>SUM(D30:G30)</f>
        <v/>
      </c>
      <c r="I30" s="27" t="n">
        <v>1000</v>
      </c>
      <c r="J30" s="27">
        <f>MAX(H30-I30,0)</f>
        <v/>
      </c>
    </row>
    <row r="31" ht="15" customHeight="1" s="20">
      <c r="A31" s="24" t="n">
        <v>27</v>
      </c>
      <c r="B31" s="25" t="inlineStr">
        <is>
          <t>Prince Xavier Isaac Lajarca</t>
        </is>
      </c>
      <c r="C31" s="24" t="inlineStr">
        <is>
          <t>Scholar</t>
        </is>
      </c>
      <c r="D31" s="27" t="n">
        <v>0</v>
      </c>
      <c r="E31" s="27" t="n">
        <v>0</v>
      </c>
      <c r="F31" s="27" t="n">
        <v>0</v>
      </c>
      <c r="G31" s="27" t="n">
        <v>2500</v>
      </c>
      <c r="H31" s="27">
        <f>SUM(D31:G31)</f>
        <v/>
      </c>
      <c r="I31" s="27" t="n">
        <v>0</v>
      </c>
      <c r="J31" s="27">
        <f>MAX(H31-I31,0)</f>
        <v/>
      </c>
    </row>
    <row r="32" ht="15" customHeight="1" s="20">
      <c r="A32" s="24" t="n">
        <v>28</v>
      </c>
      <c r="B32" s="25" t="inlineStr">
        <is>
          <t>Yuan Mattheus de Castro</t>
        </is>
      </c>
      <c r="C32" s="24" t="inlineStr">
        <is>
          <t>New</t>
        </is>
      </c>
      <c r="D32" s="27" t="n">
        <v>5500</v>
      </c>
      <c r="E32" s="27" t="n">
        <v>1000</v>
      </c>
      <c r="F32" s="27" t="n">
        <v>1600</v>
      </c>
      <c r="G32" s="27" t="n">
        <v>2500</v>
      </c>
      <c r="H32" s="27">
        <f>SUM(D32:G32)</f>
        <v/>
      </c>
      <c r="I32" s="27" t="n">
        <v>6500</v>
      </c>
      <c r="J32" s="27">
        <f>MAX(H32-I32,0)</f>
        <v/>
      </c>
    </row>
    <row r="33" ht="15" customHeight="1" s="20">
      <c r="A33" s="24" t="n">
        <v>29</v>
      </c>
      <c r="B33" s="25" t="inlineStr">
        <is>
          <t>Enzo Gabriel U. Baes</t>
        </is>
      </c>
      <c r="C33" s="24" t="inlineStr">
        <is>
          <t>New</t>
        </is>
      </c>
      <c r="D33" s="27" t="n">
        <v>5500</v>
      </c>
      <c r="E33" s="27" t="n">
        <v>1000</v>
      </c>
      <c r="F33" s="27" t="n">
        <v>1600</v>
      </c>
      <c r="G33" s="27" t="n">
        <v>2500</v>
      </c>
      <c r="H33" s="27">
        <f>SUM(D33:G33)</f>
        <v/>
      </c>
      <c r="I33" s="27" t="n">
        <v>9100</v>
      </c>
      <c r="J33" s="27">
        <f>MAX(H33-I33,0)</f>
        <v/>
      </c>
    </row>
    <row r="34" ht="15" customHeight="1" s="20">
      <c r="A34" s="24" t="n">
        <v>30</v>
      </c>
      <c r="B34" s="25" t="inlineStr">
        <is>
          <t>Jervie Jacob Villena</t>
        </is>
      </c>
      <c r="C34" s="24" t="inlineStr">
        <is>
          <t>Re-enrolled</t>
        </is>
      </c>
      <c r="D34" s="27" t="n">
        <v>5500</v>
      </c>
      <c r="E34" s="27" t="n">
        <v>0</v>
      </c>
      <c r="F34" s="27" t="n">
        <v>0</v>
      </c>
      <c r="G34" s="27" t="n">
        <v>2500</v>
      </c>
      <c r="H34" s="27">
        <f>SUM(D34:G34)</f>
        <v/>
      </c>
      <c r="I34" s="27" t="n">
        <v>0</v>
      </c>
      <c r="J34" s="27">
        <f>MAX(H34-I34,0)</f>
        <v/>
      </c>
    </row>
    <row r="35" ht="15" customHeight="1" s="20">
      <c r="A35" s="24" t="n">
        <v>31</v>
      </c>
      <c r="B35" s="25" t="inlineStr">
        <is>
          <t>Marcio Noel A. Valencia</t>
        </is>
      </c>
      <c r="C35" s="24" t="inlineStr">
        <is>
          <t>Scholar</t>
        </is>
      </c>
      <c r="D35" s="27" t="n">
        <v>0</v>
      </c>
      <c r="E35" s="27" t="n">
        <v>0</v>
      </c>
      <c r="F35" s="27" t="n">
        <v>0</v>
      </c>
      <c r="G35" s="27" t="n">
        <v>2500</v>
      </c>
      <c r="H35" s="27">
        <f>SUM(D35:G35)</f>
        <v/>
      </c>
      <c r="I35" s="27" t="n">
        <v>2500</v>
      </c>
      <c r="J35" s="27">
        <f>MAX(H35-I35,0)</f>
        <v/>
      </c>
    </row>
    <row r="36" ht="15" customHeight="1" s="20">
      <c r="A36" s="24" t="n">
        <v>32</v>
      </c>
      <c r="B36" s="25" t="inlineStr">
        <is>
          <t>Ashton Troy U. Rezaba</t>
        </is>
      </c>
      <c r="C36" s="24" t="inlineStr">
        <is>
          <t>New</t>
        </is>
      </c>
      <c r="D36" s="27" t="n">
        <v>5500</v>
      </c>
      <c r="E36" s="27" t="n">
        <v>1000</v>
      </c>
      <c r="F36" s="27" t="n">
        <v>1600</v>
      </c>
      <c r="G36" s="27" t="n">
        <v>2500</v>
      </c>
      <c r="H36" s="27">
        <f>SUM(D36:G36)</f>
        <v/>
      </c>
      <c r="I36" s="27" t="n">
        <v>4050</v>
      </c>
      <c r="J36" s="27">
        <f>MAX(H36-I36,0)</f>
        <v/>
      </c>
    </row>
    <row r="37" ht="15" customHeight="1" s="20">
      <c r="A37" s="24" t="n">
        <v>33</v>
      </c>
      <c r="B37" s="25" t="inlineStr">
        <is>
          <t>Ian Kaeden Fomodulan</t>
        </is>
      </c>
      <c r="C37" s="24" t="inlineStr">
        <is>
          <t>New</t>
        </is>
      </c>
      <c r="D37" s="28" t="n">
        <v>4000</v>
      </c>
      <c r="E37" s="28" t="n">
        <v>1000</v>
      </c>
      <c r="F37" s="28" t="n">
        <v>1600</v>
      </c>
      <c r="G37" s="28" t="n">
        <v>2500</v>
      </c>
      <c r="H37" s="28">
        <f>SUM(D37:G37)</f>
        <v/>
      </c>
      <c r="I37" s="28" t="n">
        <v>4600</v>
      </c>
      <c r="J37" s="28">
        <f>MAX(H37-I37,0)</f>
        <v/>
      </c>
    </row>
    <row r="38" ht="15" customHeight="1" s="20">
      <c r="A38" s="24" t="n">
        <v>34</v>
      </c>
      <c r="B38" s="25" t="inlineStr">
        <is>
          <t>Yusef Andrei Sy</t>
        </is>
      </c>
      <c r="C38" s="24" t="inlineStr">
        <is>
          <t>Scholar</t>
        </is>
      </c>
      <c r="D38" s="27" t="n">
        <v>0</v>
      </c>
      <c r="E38" s="27" t="n">
        <v>0</v>
      </c>
      <c r="F38" s="27" t="n">
        <v>0</v>
      </c>
      <c r="G38" s="27" t="n">
        <v>2500</v>
      </c>
      <c r="H38" s="27">
        <f>SUM(D38:G38)</f>
        <v/>
      </c>
      <c r="I38" s="27" t="n">
        <v>0</v>
      </c>
      <c r="J38" s="27">
        <f>MAX(H38-I38,0)</f>
        <v/>
      </c>
    </row>
    <row r="39" ht="15" customHeight="1" s="20">
      <c r="A39" s="24" t="n">
        <v>35</v>
      </c>
      <c r="B39" s="25" t="inlineStr">
        <is>
          <t>Adriel Morelli M. Recinto</t>
        </is>
      </c>
      <c r="C39" s="24" t="inlineStr">
        <is>
          <t>Scholar</t>
        </is>
      </c>
      <c r="D39" s="27" t="n">
        <v>0</v>
      </c>
      <c r="E39" s="27" t="n">
        <v>0</v>
      </c>
      <c r="F39" s="27" t="n">
        <v>0</v>
      </c>
      <c r="G39" s="27" t="n">
        <v>2500</v>
      </c>
      <c r="H39" s="27">
        <f>SUM(D39:G39)</f>
        <v/>
      </c>
      <c r="I39" s="27" t="n">
        <v>0</v>
      </c>
      <c r="J39" s="27">
        <f>MAX(H39-I39,0)</f>
        <v/>
      </c>
    </row>
    <row r="40" ht="15" customHeight="1" s="20">
      <c r="A40" s="24" t="n">
        <v>36</v>
      </c>
      <c r="B40" s="25" t="inlineStr">
        <is>
          <t>Jeff Moises Geloso</t>
        </is>
      </c>
      <c r="C40" s="24" t="inlineStr">
        <is>
          <t>New</t>
        </is>
      </c>
      <c r="D40" s="27" t="n">
        <v>5500</v>
      </c>
      <c r="E40" s="27" t="n">
        <v>1000</v>
      </c>
      <c r="F40" s="27" t="n">
        <v>1600</v>
      </c>
      <c r="G40" s="27" t="n">
        <v>2500</v>
      </c>
      <c r="H40" s="27">
        <f>SUM(D40:G40)</f>
        <v/>
      </c>
      <c r="I40" s="27" t="n">
        <v>10600</v>
      </c>
      <c r="J40" s="27">
        <f>MAX(H40-I40,0)</f>
        <v/>
      </c>
    </row>
    <row r="41" ht="15" customHeight="1" s="20">
      <c r="A41" s="24" t="n">
        <v>37</v>
      </c>
      <c r="B41" s="25" t="inlineStr">
        <is>
          <t>Joel Mercado Panganiban</t>
        </is>
      </c>
      <c r="C41" s="24" t="inlineStr">
        <is>
          <t>New</t>
        </is>
      </c>
      <c r="D41" s="27" t="n">
        <v>5500</v>
      </c>
      <c r="E41" s="27" t="n">
        <v>1000</v>
      </c>
      <c r="F41" s="27" t="n">
        <v>1600</v>
      </c>
      <c r="G41" s="27" t="n">
        <v>2500</v>
      </c>
      <c r="H41" s="27">
        <f>SUM(D41:G41)</f>
        <v/>
      </c>
      <c r="I41" s="27" t="n">
        <v>5500</v>
      </c>
      <c r="J41" s="27">
        <f>MAX(H41-I41,0)</f>
        <v/>
      </c>
    </row>
    <row r="42" ht="15" customHeight="1" s="20">
      <c r="C42" s="36" t="inlineStr">
        <is>
          <t>TOTALS</t>
        </is>
      </c>
      <c r="D42" s="35">
        <f>SUM(D5:D41)</f>
        <v/>
      </c>
      <c r="E42" s="35">
        <f>SUM(E5:E41)</f>
        <v/>
      </c>
      <c r="F42" s="35">
        <f>SUM(F5:F41)</f>
        <v/>
      </c>
      <c r="G42" s="35">
        <f>SUM(G5:G41)</f>
        <v/>
      </c>
      <c r="H42" s="35">
        <f>SUM(H5:H41)</f>
        <v/>
      </c>
      <c r="I42" s="35">
        <f>SUM(I5:I41)</f>
        <v/>
      </c>
      <c r="J42" s="35">
        <f>SUM(J5:J41)</f>
        <v/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6" customWidth="1" style="19" min="2" max="2"/>
    <col width="26" customWidth="1" style="19" min="3" max="3"/>
    <col width="24" customWidth="1" style="19" min="4" max="4"/>
    <col width="44" customWidth="1" style="19" min="5" max="5"/>
    <col width="10" customWidth="1" style="19" min="6" max="6"/>
  </cols>
  <sheetData>
    <row r="1" ht="18.55" customHeight="1" s="20">
      <c r="A1" s="21" t="inlineStr">
        <is>
          <t>UNIFORM CHECKOUT — SIZE SHEET</t>
        </is>
      </c>
    </row>
    <row r="2" ht="15" customHeight="1" s="20">
      <c r="A2" s="22" t="inlineStr">
        <is>
          <t>Only players with a size on file are listed. Tick "Released" when the tournament uniform is handed over.</t>
        </is>
      </c>
    </row>
    <row r="4" ht="15" customHeight="1" s="20">
      <c r="A4" s="23" t="inlineStr">
        <is>
          <t>Jersey Name</t>
        </is>
      </c>
      <c r="B4" s="23" t="inlineStr">
        <is>
          <t>#</t>
        </is>
      </c>
      <c r="C4" s="23" t="inlineStr">
        <is>
          <t>Player</t>
        </is>
      </c>
      <c r="D4" s="23" t="inlineStr">
        <is>
          <t>Guardian</t>
        </is>
      </c>
      <c r="E4" s="23" t="inlineStr">
        <is>
          <t>Size Details</t>
        </is>
      </c>
      <c r="F4" s="23" t="inlineStr">
        <is>
          <t>Released</t>
        </is>
      </c>
    </row>
    <row r="5" ht="15" customHeight="1" s="20">
      <c r="A5" s="25" t="inlineStr">
        <is>
          <t>Juadines</t>
        </is>
      </c>
      <c r="B5" s="24" t="inlineStr">
        <is>
          <t>#30</t>
        </is>
      </c>
      <c r="C5" s="25" t="inlineStr">
        <is>
          <t>Chael Juadines</t>
        </is>
      </c>
      <c r="D5" s="25" t="inlineStr">
        <is>
          <t>Nicole Morada Martija</t>
        </is>
      </c>
      <c r="E5" s="26" t="inlineStr">
        <is>
          <t>Top 9-10, Short 9-10</t>
        </is>
      </c>
      <c r="F5" s="24" t="n"/>
    </row>
    <row r="6" ht="15" customHeight="1" s="20">
      <c r="A6" s="25" t="inlineStr">
        <is>
          <t>Suavengco</t>
        </is>
      </c>
      <c r="B6" s="24" t="inlineStr">
        <is>
          <t>#05</t>
        </is>
      </c>
      <c r="C6" s="25" t="inlineStr">
        <is>
          <t>Francis Yves C. Suavengco</t>
        </is>
      </c>
      <c r="D6" s="25" t="inlineStr">
        <is>
          <t>Marvin Suavengco</t>
        </is>
      </c>
      <c r="E6" s="26" t="inlineStr">
        <is>
          <t>Age 9-10, Top 37-26, Short 36-15</t>
        </is>
      </c>
      <c r="F6" s="24" t="n"/>
    </row>
    <row r="7" ht="15" customHeight="1" s="20">
      <c r="A7" s="25" t="inlineStr">
        <is>
          <t>Lucas</t>
        </is>
      </c>
      <c r="B7" s="24" t="inlineStr">
        <is>
          <t>#27</t>
        </is>
      </c>
      <c r="C7" s="25" t="inlineStr">
        <is>
          <t>Lucas Adam De Chavez</t>
        </is>
      </c>
      <c r="D7" s="25" t="inlineStr">
        <is>
          <t>Babie DC Valencia</t>
        </is>
      </c>
      <c r="E7" s="26" t="inlineStr">
        <is>
          <t>Top 9-10, Length 26, Short hips 35 / length 18</t>
        </is>
      </c>
      <c r="F7" s="24" t="n"/>
    </row>
    <row r="8" ht="15" customHeight="1" s="20">
      <c r="A8" s="25" t="inlineStr">
        <is>
          <t>Balanay</t>
        </is>
      </c>
      <c r="B8" s="24" t="inlineStr">
        <is>
          <t>#14</t>
        </is>
      </c>
      <c r="C8" s="25" t="inlineStr">
        <is>
          <t>Ram Raynard M. Balanay</t>
        </is>
      </c>
      <c r="D8" s="25" t="inlineStr">
        <is>
          <t>Jennie Medina Balanay</t>
        </is>
      </c>
      <c r="E8" s="26" t="inlineStr">
        <is>
          <t>Top 9-10, Short 9-10</t>
        </is>
      </c>
      <c r="F8" s="24" t="n"/>
    </row>
    <row r="9" ht="15" customHeight="1" s="20">
      <c r="A9" s="25" t="inlineStr">
        <is>
          <t>Africa</t>
        </is>
      </c>
      <c r="B9" s="24" t="inlineStr">
        <is>
          <t>#15</t>
        </is>
      </c>
      <c r="C9" s="25" t="inlineStr">
        <is>
          <t>Maizon Africa</t>
        </is>
      </c>
      <c r="D9" s="25" t="inlineStr">
        <is>
          <t>Analiza Garcia Africa</t>
        </is>
      </c>
      <c r="E9" s="26" t="inlineStr">
        <is>
          <t>Top 7-8, Short 7-8</t>
        </is>
      </c>
      <c r="F9" s="24" t="n"/>
    </row>
    <row r="10" ht="15" customHeight="1" s="20">
      <c r="A10" s="25" t="inlineStr">
        <is>
          <t>Primo</t>
        </is>
      </c>
      <c r="B10" s="24" t="inlineStr">
        <is>
          <t>#10</t>
        </is>
      </c>
      <c r="C10" s="25" t="inlineStr">
        <is>
          <t>Primo Diaz</t>
        </is>
      </c>
      <c r="D10" s="25" t="inlineStr">
        <is>
          <t>Jonas Diaz</t>
        </is>
      </c>
      <c r="E10" s="26" t="inlineStr">
        <is>
          <t>Top 9-10, Short 35-18</t>
        </is>
      </c>
      <c r="F10" s="24" t="n"/>
    </row>
    <row r="11" ht="15" customHeight="1" s="20">
      <c r="A11" s="25" t="inlineStr">
        <is>
          <t>Rezaba</t>
        </is>
      </c>
      <c r="B11" s="24" t="inlineStr">
        <is>
          <t>#25</t>
        </is>
      </c>
      <c r="C11" s="25" t="inlineStr">
        <is>
          <t>Austin Trey U. Rezaba</t>
        </is>
      </c>
      <c r="D11" s="25" t="inlineStr">
        <is>
          <t>Rustan Rezaba</t>
        </is>
      </c>
      <c r="E11" s="26" t="inlineStr">
        <is>
          <t>Top age 11-12, Short age 11-12</t>
        </is>
      </c>
      <c r="F11" s="24" t="n"/>
    </row>
    <row r="12" ht="15" customHeight="1" s="20">
      <c r="A12" s="25" t="inlineStr">
        <is>
          <t>Zachary</t>
        </is>
      </c>
      <c r="B12" s="24" t="inlineStr">
        <is>
          <t>#30</t>
        </is>
      </c>
      <c r="C12" s="25" t="inlineStr">
        <is>
          <t>Ethan Von Zachary de Castro</t>
        </is>
      </c>
      <c r="D12" s="25" t="inlineStr">
        <is>
          <t>Jhon Herbert De Castro</t>
        </is>
      </c>
      <c r="E12" s="26" t="inlineStr">
        <is>
          <t>Body 30, Length 21, Short hips 32, Short length 14</t>
        </is>
      </c>
      <c r="F12" s="24" t="n"/>
    </row>
    <row r="13" ht="15" customHeight="1" s="20">
      <c r="A13" s="25" t="inlineStr">
        <is>
          <t>Yuan</t>
        </is>
      </c>
      <c r="B13" s="24" t="inlineStr">
        <is>
          <t>#29</t>
        </is>
      </c>
      <c r="C13" s="25" t="inlineStr">
        <is>
          <t>Yuan Mattheus de Castro</t>
        </is>
      </c>
      <c r="D13" s="25" t="inlineStr">
        <is>
          <t>Jhon Herbert De Castro</t>
        </is>
      </c>
      <c r="E13" s="26" t="inlineStr">
        <is>
          <t>Body 34, Length 25, Short hips 36, Short length 16</t>
        </is>
      </c>
      <c r="F13" s="24" t="n"/>
    </row>
    <row r="14" ht="15" customHeight="1" s="20">
      <c r="A14" s="25" t="inlineStr">
        <is>
          <t>Baes</t>
        </is>
      </c>
      <c r="B14" s="24" t="inlineStr">
        <is>
          <t>#16</t>
        </is>
      </c>
      <c r="C14" s="25" t="inlineStr">
        <is>
          <t>Enzo Gabriel U. Baes</t>
        </is>
      </c>
      <c r="D14" s="25" t="inlineStr">
        <is>
          <t>Apple Umali</t>
        </is>
      </c>
      <c r="E14" s="26" t="inlineStr">
        <is>
          <t>Top S, Short S</t>
        </is>
      </c>
      <c r="F14" s="24" t="n"/>
    </row>
    <row r="15" ht="15" customHeight="1" s="20">
      <c r="A15" s="25" t="inlineStr">
        <is>
          <t>Rezaba</t>
        </is>
      </c>
      <c r="B15" s="24" t="inlineStr">
        <is>
          <t>#15</t>
        </is>
      </c>
      <c r="C15" s="25" t="inlineStr">
        <is>
          <t>Ashton Troy U. Rezaba</t>
        </is>
      </c>
      <c r="D15" s="25" t="inlineStr">
        <is>
          <t>Rustan Rezaba</t>
        </is>
      </c>
      <c r="E15" s="26" t="inlineStr">
        <is>
          <t>Top age 11-12, Short age 11-12</t>
        </is>
      </c>
      <c r="F15" s="24" t="n"/>
    </row>
    <row r="16" ht="15" customHeight="1" s="20">
      <c r="A16" s="25" t="inlineStr">
        <is>
          <t>Fomodulan</t>
        </is>
      </c>
      <c r="B16" s="24" t="inlineStr">
        <is>
          <t>#10</t>
        </is>
      </c>
      <c r="C16" s="25" t="inlineStr">
        <is>
          <t>Ian Kaeden Fomodulan</t>
        </is>
      </c>
      <c r="D16" s="25" t="inlineStr">
        <is>
          <t>Alice Robles-Famodulan</t>
        </is>
      </c>
      <c r="E16" s="26" t="inlineStr">
        <is>
          <t>Top 9-10, Short 9-10</t>
        </is>
      </c>
      <c r="F16" s="24" t="n"/>
    </row>
    <row r="17" ht="15" customHeight="1" s="20">
      <c r="A17" s="25" t="inlineStr">
        <is>
          <t>Geloso</t>
        </is>
      </c>
      <c r="B17" s="24" t="inlineStr">
        <is>
          <t>#02</t>
        </is>
      </c>
      <c r="C17" s="25" t="inlineStr">
        <is>
          <t>Jeff Moises Geloso</t>
        </is>
      </c>
      <c r="D17" s="25" t="inlineStr">
        <is>
          <t>Vanessa L. Reanzares</t>
        </is>
      </c>
      <c r="E17" s="26" t="inlineStr">
        <is>
          <t>Top 9-10, Short 9-10</t>
        </is>
      </c>
      <c r="F17" s="24" t="n"/>
    </row>
    <row r="18" ht="15" customHeight="1" s="20">
      <c r="A18" s="25" t="inlineStr">
        <is>
          <t>Panganiban</t>
        </is>
      </c>
      <c r="B18" s="24" t="inlineStr">
        <is>
          <t>#12</t>
        </is>
      </c>
      <c r="C18" s="25" t="inlineStr">
        <is>
          <t>Joel Mercado Panganiban</t>
        </is>
      </c>
      <c r="D18" s="25" t="inlineStr">
        <is>
          <t>Joel Mercado Panganiban</t>
        </is>
      </c>
      <c r="E18" s="26" t="inlineStr">
        <is>
          <t>Top 11-12, Short 11-12</t>
        </is>
      </c>
      <c r="F18" s="24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9" min="1" max="1"/>
    <col width="46" customWidth="1" style="19" min="2" max="2"/>
  </cols>
  <sheetData>
    <row r="1" ht="18.55" customHeight="1" s="20">
      <c r="A1" s="21" t="inlineStr">
        <is>
          <t>FEE REFERENCE &amp; NOTES — BATCH 23</t>
        </is>
      </c>
    </row>
    <row r="2"/>
    <row r="3" ht="15" customHeight="1" s="20">
      <c r="A3" s="37" t="n"/>
      <c r="B3" s="37" t="n"/>
    </row>
    <row r="4" ht="15" customHeight="1" s="20">
      <c r="A4" s="36" t="inlineStr">
        <is>
          <t>NEW PLAYER PACKAGE</t>
        </is>
      </c>
      <c r="B4" s="37" t="inlineStr">
        <is>
          <t>₱10,600</t>
        </is>
      </c>
    </row>
    <row r="5" ht="15" customHeight="1" s="20">
      <c r="A5" s="37" t="inlineStr">
        <is>
          <t xml:space="preserve">  Training Fee</t>
        </is>
      </c>
      <c r="B5" s="38" t="n">
        <v>5500</v>
      </c>
    </row>
    <row r="6" ht="15" customHeight="1" s="20">
      <c r="A6" s="37" t="inlineStr">
        <is>
          <t xml:space="preserve">  Batch Uniform</t>
        </is>
      </c>
      <c r="B6" s="38" t="n">
        <v>1000</v>
      </c>
    </row>
    <row r="7" ht="15" customHeight="1" s="20">
      <c r="A7" s="37" t="inlineStr">
        <is>
          <t xml:space="preserve">  Tournament Uniform</t>
        </is>
      </c>
      <c r="B7" s="38" t="n">
        <v>1600</v>
      </c>
    </row>
    <row r="8" ht="15" customHeight="1" s="20">
      <c r="A8" s="37" t="inlineStr">
        <is>
          <t xml:space="preserve">  Tournament Fee</t>
        </is>
      </c>
      <c r="B8" s="38" t="n">
        <v>2500</v>
      </c>
    </row>
    <row r="9" ht="15" customHeight="1" s="20">
      <c r="A9" s="37" t="n"/>
      <c r="B9" s="37" t="n"/>
    </row>
    <row r="10" ht="15" customHeight="1" s="20">
      <c r="A10" s="36" t="inlineStr">
        <is>
          <t>RE-ENROLLED PACKAGE</t>
        </is>
      </c>
      <c r="B10" s="37" t="inlineStr">
        <is>
          <t>₱8,000</t>
        </is>
      </c>
    </row>
    <row r="11" ht="15" customHeight="1" s="20">
      <c r="A11" s="37" t="inlineStr">
        <is>
          <t xml:space="preserve">  Training Fee</t>
        </is>
      </c>
      <c r="B11" s="38" t="n">
        <v>5500</v>
      </c>
    </row>
    <row r="12" ht="15" customHeight="1" s="20">
      <c r="A12" s="37" t="inlineStr">
        <is>
          <t xml:space="preserve">  Tournament Fee</t>
        </is>
      </c>
      <c r="B12" s="38" t="n">
        <v>2500</v>
      </c>
    </row>
    <row r="13" ht="15" customHeight="1" s="20">
      <c r="A13" s="37" t="n"/>
      <c r="B13" s="37" t="n"/>
    </row>
    <row r="14" ht="15" customHeight="1" s="20">
      <c r="A14" s="36" t="inlineStr">
        <is>
          <t>SCHOLAR (Batch 23)</t>
        </is>
      </c>
      <c r="B14" s="37" t="inlineStr">
        <is>
          <t>₱2,500</t>
        </is>
      </c>
    </row>
    <row r="15" ht="15" customHeight="1" s="20">
      <c r="A15" s="37" t="inlineStr">
        <is>
          <t xml:space="preserve">  Tournament Fee only</t>
        </is>
      </c>
      <c r="B15" s="38" t="n">
        <v>2500</v>
      </c>
    </row>
    <row r="16" ht="15" customHeight="1" s="20">
      <c r="A16" s="37" t="n"/>
      <c r="B16" s="37" t="n"/>
    </row>
    <row r="17" ht="15" customHeight="1" s="20">
      <c r="A17" s="37" t="inlineStr">
        <is>
          <t>TO CONFIRM</t>
        </is>
      </c>
      <c r="B17" s="37" t="n"/>
    </row>
    <row r="18" ht="23.85" customHeight="1" s="20">
      <c r="A18" s="39" t="inlineStr">
        <is>
          <t xml:space="preserve">  Lucas Adam De Chavez</t>
        </is>
      </c>
      <c r="B18" s="40" t="inlineStr">
        <is>
          <t>CONFIRM: uniform "Lucas #27" (parent Babie DC Valencia) matched to this player — verify name.</t>
        </is>
      </c>
    </row>
    <row r="19" ht="23.85" customHeight="1" s="20">
      <c r="A19" s="39" t="inlineStr">
        <is>
          <t xml:space="preserve">  Ian Kaeden Fomodulan</t>
        </is>
      </c>
      <c r="B19" s="40" t="inlineStr">
        <is>
          <t>7-session adjusted package = ₱9,100 (Sessions 4,000 + Batch Uniform 1,000 + Tournament Uniform 1,600 + Tournament Fee 2,500). ₱4,600 paid · ₱4,500 balance.</t>
        </is>
      </c>
    </row>
    <row r="20"/>
    <row r="21" ht="15" customHeight="1" s="20">
      <c r="A21" s="22" t="inlineStr">
        <is>
          <t>Panganiban #12 (Joel Mercado Panganiban) is included for records but marked NOT PLAYING.</t>
        </is>
      </c>
    </row>
    <row r="22" ht="15" customHeight="1" s="20">
      <c r="A22" s="22" t="inlineStr">
        <is>
          <t>Payment amounts were transcribed from your iPhone notes. Partial-payment allocation to the</t>
        </is>
      </c>
    </row>
    <row r="23" ht="15" customHeight="1" s="20">
      <c r="A23" s="22" t="inlineStr">
        <is>
          <t>tournament fee is an assumption — verify against your records before final checkout.</t>
        </is>
      </c>
    </row>
    <row r="24" ht="15" customHeight="1" s="20">
      <c r="A24" s="22" t="inlineStr">
        <is>
          <t>"FB" in notes = enrolled via Facebook. "Tourn. Fee = Waived" = free tournament-fee voucher.</t>
        </is>
      </c>
    </row>
  </sheetData>
  <mergeCells count="5">
    <mergeCell ref="A1:D1"/>
    <mergeCell ref="A23:D23"/>
    <mergeCell ref="A22:D22"/>
    <mergeCell ref="A21:D21"/>
    <mergeCell ref="A24:D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2026-09-11T10:23:34Z</dcterms:created>
  <dcterms:modified xmlns:dcterms="http://purl.org/dc/terms/" xmlns:xsi="http://www.w3.org/2001/XMLSchema-instance" xsi:type="dcterms:W3CDTF">2026-09-11T10:47:53Z</dcterms:modified>
  <cp:revision>0</cp:revision>
</cp:coreProperties>
</file>